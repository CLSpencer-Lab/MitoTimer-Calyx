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igailwendland/Documents/MicroPub/"/>
    </mc:Choice>
  </mc:AlternateContent>
  <xr:revisionPtr revIDLastSave="0" documentId="8_{BA773E50-0EBD-3941-B3CA-53B0A07F6C55}" xr6:coauthVersionLast="47" xr6:coauthVersionMax="47" xr10:uidLastSave="{00000000-0000-0000-0000-000000000000}"/>
  <bookViews>
    <workbookView xWindow="840" yWindow="500" windowWidth="24940" windowHeight="17500" xr2:uid="{001578C0-8ECB-BA46-8078-5BF969021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G12" i="1"/>
  <c r="K44" i="1"/>
  <c r="K74" i="1"/>
  <c r="G74" i="1"/>
  <c r="K73" i="1"/>
  <c r="G73" i="1"/>
  <c r="K72" i="1"/>
  <c r="G72" i="1"/>
  <c r="K71" i="1"/>
  <c r="G71" i="1"/>
  <c r="K70" i="1"/>
  <c r="G69" i="1"/>
  <c r="K68" i="1"/>
  <c r="G68" i="1"/>
  <c r="K67" i="1"/>
  <c r="G67" i="1"/>
  <c r="G66" i="1"/>
  <c r="K66" i="1"/>
  <c r="K65" i="1"/>
  <c r="G65" i="1"/>
  <c r="G64" i="1"/>
  <c r="K64" i="1"/>
  <c r="K63" i="1"/>
  <c r="G63" i="1"/>
  <c r="K62" i="1"/>
  <c r="G62" i="1"/>
  <c r="K60" i="1"/>
  <c r="G60" i="1"/>
  <c r="K59" i="1"/>
  <c r="G59" i="1"/>
  <c r="K58" i="1"/>
  <c r="G58" i="1"/>
  <c r="K57" i="1"/>
  <c r="G57" i="1"/>
  <c r="K56" i="1"/>
  <c r="G56" i="1"/>
  <c r="K55" i="1"/>
  <c r="G55" i="1"/>
  <c r="K61" i="1"/>
  <c r="G61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G28" i="1"/>
  <c r="K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1" i="1"/>
  <c r="G11" i="1"/>
  <c r="K10" i="1"/>
  <c r="G10" i="1"/>
  <c r="K9" i="1"/>
  <c r="G9" i="1"/>
  <c r="K8" i="1"/>
  <c r="G8" i="1"/>
  <c r="K7" i="1"/>
  <c r="G7" i="1"/>
  <c r="K6" i="1"/>
  <c r="G6" i="1"/>
  <c r="K5" i="1"/>
  <c r="G5" i="1"/>
  <c r="K4" i="1"/>
  <c r="G4" i="1"/>
  <c r="K3" i="1"/>
  <c r="G3" i="1"/>
  <c r="K2" i="1"/>
  <c r="G2" i="1"/>
</calcChain>
</file>

<file path=xl/sharedStrings.xml><?xml version="1.0" encoding="utf-8"?>
<sst xmlns="http://schemas.openxmlformats.org/spreadsheetml/2006/main" count="238" uniqueCount="173">
  <si>
    <t>Fly_ID</t>
  </si>
  <si>
    <t>Summary</t>
  </si>
  <si>
    <t>Code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</si>
  <si>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</si>
  <si>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</si>
  <si>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</si>
  <si>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</si>
  <si>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</si>
  <si>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</si>
  <si>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</si>
  <si>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</si>
  <si>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</si>
  <si>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</si>
  <si>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</si>
  <si>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</si>
  <si>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</si>
  <si>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</si>
  <si>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</si>
  <si>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</si>
  <si>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</si>
  <si>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</si>
  <si>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</si>
  <si>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</si>
  <si>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</si>
  <si>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</si>
  <si>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</si>
  <si>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</si>
  <si>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</si>
  <si>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</si>
  <si>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</si>
  <si>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</si>
  <si>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</si>
  <si>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</si>
  <si>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</si>
  <si>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</si>
  <si>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</si>
  <si>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</si>
  <si>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</si>
  <si>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</si>
  <si>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G1</t>
  </si>
  <si>
    <t>G2</t>
  </si>
  <si>
    <t xml:space="preserve">Left NA </t>
  </si>
  <si>
    <t xml:space="preserve">Right NA 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</si>
  <si>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</si>
  <si>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</si>
  <si>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</si>
  <si>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</si>
  <si>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</si>
  <si>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</si>
  <si>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</si>
  <si>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</si>
  <si>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</si>
  <si>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</si>
  <si>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</si>
  <si>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</si>
  <si>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</si>
  <si>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</si>
  <si>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</si>
  <si>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</si>
  <si>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</si>
  <si>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</si>
  <si>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</si>
  <si>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</si>
  <si>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</si>
  <si>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</si>
  <si>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</si>
  <si>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</si>
  <si>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</si>
  <si>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</si>
  <si>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</si>
  <si>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</si>
  <si>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</si>
  <si>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</si>
  <si>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</si>
  <si>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</si>
  <si>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</si>
  <si>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</si>
  <si>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</si>
  <si>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Left_ROI_Area</t>
  </si>
  <si>
    <t>Left_Green_IntDen</t>
  </si>
  <si>
    <t>Left_Red_IntDen</t>
  </si>
  <si>
    <t>Left_RedGreen_Ratio</t>
  </si>
  <si>
    <t>Right_ROI_Area</t>
  </si>
  <si>
    <t>Right_Green_IntDen</t>
  </si>
  <si>
    <t>Right_Red_IntDen</t>
  </si>
  <si>
    <t>Right_RedGreen_Ratio</t>
  </si>
  <si>
    <t>nSyb1_Experiment-1405-Split Scenes-08-Airyscan Processing-11</t>
  </si>
  <si>
    <t>nSyb_Young</t>
  </si>
  <si>
    <t>nSyb2_Experiment-1405-Split Scenes-07-Airyscan Processing-05</t>
  </si>
  <si>
    <t>nSyb3_Experiment-1405-Split Scenes-06-Airyscan Processing-04</t>
  </si>
  <si>
    <t>nSyb4_Experiment-1405-Split Scenes-05-Airyscan Processing-14</t>
  </si>
  <si>
    <t>nSyb5_Experiment-1405-Split Scenes-04-Airyscan Processing-03</t>
  </si>
  <si>
    <t>nSyb6_Experiment-1405-Split Scenes-03-Airyscan Processing-02</t>
  </si>
  <si>
    <t>nSyb7_Experiment-1405-Split Scenes-02-Airyscan Processing-01</t>
  </si>
  <si>
    <t>nSyb1_15to20 Mito F 251031 Processed</t>
  </si>
  <si>
    <t>nSyb_Middle</t>
  </si>
  <si>
    <t>nSyb2_15to20 Mito F  251031-Airyscan Processing-02</t>
  </si>
  <si>
    <t>nSyb3_15to20 Mito F  251031-Airyscan Processing-04</t>
  </si>
  <si>
    <t>nSyb4_15to20 Mito F  251031-Airyscan Processing-11</t>
  </si>
  <si>
    <t>nSyb5_15to20 Mito F  251031-Airyscan Processing-10</t>
  </si>
  <si>
    <t>nSyb6_15to20 Mito F  251031-Airyscan Processing-09</t>
  </si>
  <si>
    <t>nSyb7_15to20 Mito F  251031-Airyscan Processing-05</t>
  </si>
  <si>
    <t>nSyb8_15to20 Mito F  251031-Airyscan Processing-07</t>
  </si>
  <si>
    <t>nSyb9_15to20 Mito F  251031-Airyscan Processing-08</t>
  </si>
  <si>
    <t>nSyb10_15to20 Mito F  251031-Airyscan Processing-14</t>
  </si>
  <si>
    <t>nSyb1_49to50d F 111125-Airyscan Processing-01</t>
  </si>
  <si>
    <t>nSyb_Old</t>
  </si>
  <si>
    <t>nSyb2_49to50d F 111125-Airyscan Processing-02</t>
  </si>
  <si>
    <t>nSyb3_49to50d F 111125-Airyscan Processing-03</t>
  </si>
  <si>
    <t>nSyb4_49to50d F 111125-Airyscan Processing-03-Airyscan Processing-04</t>
  </si>
  <si>
    <t>nSyb5_49to50d F 111125-Airyscan Processing-05</t>
  </si>
  <si>
    <t>nSyb6_49to50d F 111125-Airyscan Processing-06</t>
  </si>
  <si>
    <t>nSyb7_49to50d F 111125-Airyscan Processing-07</t>
  </si>
  <si>
    <t>nSyb8_49to50d F 111125-Airyscan Processing-08</t>
  </si>
  <si>
    <t>nSyb9_49to50d F 111125-Airyscan Processing-10</t>
  </si>
  <si>
    <t>2 nSyb F Mito Control 10to15d processed</t>
  </si>
  <si>
    <t>nSyb_NegativeControl_10to15</t>
  </si>
  <si>
    <t>4 nSyb F Mito Control 10to15d processed</t>
  </si>
  <si>
    <t>6 nSyb F Mito Control 10to15d processed</t>
  </si>
  <si>
    <t>1n_Syb_f_d15_d18_neg_control_Experiment-2809_AW_AW_18mar2026-Airyscan Processing-01</t>
  </si>
  <si>
    <t>nSyb_NegativeControl_15to18</t>
  </si>
  <si>
    <t>2n_Syb_f_d15_d18_neg_control_Experiment-2809_AW_AW_18mar2026-Airyscan Processing-02</t>
  </si>
  <si>
    <t>1 repeat nSyb F Mito Paraquat 10to15d raw-Airyscan Processing-07</t>
  </si>
  <si>
    <t>nSyb_PositiveControl_10to15</t>
  </si>
  <si>
    <t>3 nSyb Mito Paraquat 10to15d raw-Airyscan Processing-02</t>
  </si>
  <si>
    <t>5 nSyb F Mito Paraquat 10to15d raw-Airyscan Processing-04</t>
  </si>
  <si>
    <t>1n_Syb_f_d15_d18_pos_control_paraquat_Experiment-2809_AW_LL_18mar2026-Airyscan Processing-06</t>
  </si>
  <si>
    <t>nSyb_PositiveControl_15to18</t>
  </si>
  <si>
    <t>2n_Syb_f_d15_d18_pos_control_paraquat_Experiment-2809_AW_LL_18mar2026-Airyscan Processing-07</t>
  </si>
  <si>
    <t>Repo4_Experiment-1402-Split Scenes-10-Airyscan Processing-13</t>
  </si>
  <si>
    <t>Repo_Young</t>
  </si>
  <si>
    <t>Repo5_Experiment-1402-Split Scenes-09-Airyscan Processing-12</t>
  </si>
  <si>
    <t>Repo6_07 to 09 Experiment-1400 nRepo F d1to5 10-24-2025-Scene-3-P7-Airyscan Processing-01</t>
  </si>
  <si>
    <t>Repo7_F d1to5 10-24-2025-Scene-2-P8-Airyscan Processing-02</t>
  </si>
  <si>
    <t>Repo8_F d1to5 10-24-2025-Scene-1-P9-Airyscan Processing-03</t>
  </si>
  <si>
    <t>Repo1_15to20 Mito F 251031 3 channels-Airyscan Processing-13</t>
  </si>
  <si>
    <t>Repo_Middle</t>
  </si>
  <si>
    <t>Repo2_15to20 Mito F  251106-Airyscan Processing-06</t>
  </si>
  <si>
    <t>Repo3_15to20 Mito F  251106-Airyscan Processing-07</t>
  </si>
  <si>
    <t>Repo4_15to20 Mito F  251106-Airyscan Processing-08</t>
  </si>
  <si>
    <t>Repo5_15to20 Mito F  251106-Airyscan Processing-10</t>
  </si>
  <si>
    <t>Repo6_15to20 Mito F  251106-Airyscan Processing-12</t>
  </si>
  <si>
    <t>Repo7_15to20 Mito F  251106-Airyscan Processing-09</t>
  </si>
  <si>
    <t>Repo8_15to20 Mito F  251106-Airyscan Processing-13</t>
  </si>
  <si>
    <t>Repo9_15to20 Mito F  251106-Airyscan Processing-11</t>
  </si>
  <si>
    <t>Repo1_49to50d F 111125-Airyscan Processing-11</t>
  </si>
  <si>
    <t>Repo_Old</t>
  </si>
  <si>
    <t>Repo2_49to50d F 111125-Airyscan Processing-12</t>
  </si>
  <si>
    <t>Repo3_49to50d F 111125-Airyscan Processing-13</t>
  </si>
  <si>
    <t>Repo4_49to50d F 111125-Airyscan Processing-14</t>
  </si>
  <si>
    <t>Repo5_49to50d F 111125-Airyscan Processing-15</t>
  </si>
  <si>
    <t>Repo6_49to50d F 111125-Airyscan Processing-16</t>
  </si>
  <si>
    <t>Repo7_49to50d F 111125-Airyscan Processing-17</t>
  </si>
  <si>
    <t>Repo8_49to50d F 111125-Airyscan Processing-18</t>
  </si>
  <si>
    <t>Repo9_49to50d F 111125-Airyscan Processing-22</t>
  </si>
  <si>
    <t>1 Repo F Mito Control 10to15d processed</t>
  </si>
  <si>
    <t>Repo_NegativeControl_10to15</t>
  </si>
  <si>
    <t>3 Repo F Mito Control 10to15d processed</t>
  </si>
  <si>
    <t>4 Repo F Mito Control 10to15d processed</t>
  </si>
  <si>
    <t>1REPO_f_d15_d18_negative_control_Experiment-2809_AW_LL-Airyscan Processing-08</t>
  </si>
  <si>
    <t>Repo_NegativeControl_15to18</t>
  </si>
  <si>
    <t>2REPO_f_d15_d18_negative_control_Experiment-2809_AW_LL-Airyscan Processing-09</t>
  </si>
  <si>
    <t>3REPO_f_d15_d18_negative_control_Experiment-2809_AW_LL-Airyscan Processing-10</t>
  </si>
  <si>
    <t>2 Repo Mito Paraquat 10to15d raw-Airyscan Processing-01</t>
  </si>
  <si>
    <t>Repo_PositiveControl_10to15</t>
  </si>
  <si>
    <t>4 Repo F Mito Paraquat 10to15d raw-Airyscan Processing-03</t>
  </si>
  <si>
    <t>6 Left Repo F Mito Paraquat 10to15d raw-Airyscan Processing-06</t>
  </si>
  <si>
    <t>6 Right Repo F Mito Paraquat 10to15d processed</t>
  </si>
  <si>
    <t>7 Repo F Mito Paraquat 10to15d processed</t>
  </si>
  <si>
    <t>1REPO_f_d15_d18_Paraquat_pos_control_Experiment-2809_AW_AW_18mar2026-Airyscan Processing-02-Airyscan Processing-03</t>
  </si>
  <si>
    <t>Repo_PositiveControl_15to18</t>
  </si>
  <si>
    <t>2REPO_f_d15_d18_Paraquat_pos_control_Experiment-2809_AW_LL-Airyscan Processing-04</t>
  </si>
  <si>
    <t>3REPO_f_d15_d18_Paraquat_pos_control_Experiment-2809_AW_LL-Airyscan Processing-05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</si>
</sst>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A7DD-B948-A14F-9BBA-85B81BDBB867}">
  <dimension ref="A1:K74"/>
  <sheetViews>
    <sheetView tabSelected="1" zoomScale="106" workbookViewId="0">
      <selection activeCell="N42" sqref="N42"/>
    </sheetView>
  </sheetViews>
  <sheetFormatPr baseColWidth="10" defaultColWidth="11" defaultRowHeight="16" x14ac:dyDescent="0.2"/>
  <cols>
    <col min="1" max="1" width="26.33203125" customWidth="1"/>
    <col min="2" max="2" width="10.33203125" customWidth="1"/>
    <col min="4" max="4" width="13.83203125" customWidth="1"/>
    <col min="5" max="5" width="16.83203125" customWidth="1"/>
    <col min="6" max="6" width="16.5" customWidth="1"/>
    <col min="7" max="7" width="19.83203125" customWidth="1"/>
    <col min="8" max="8" width="15" customWidth="1"/>
    <col min="9" max="9" width="18.1640625" customWidth="1"/>
    <col min="10" max="10" width="17" customWidth="1"/>
    <col min="11" max="11" width="2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</row>
    <row r="2" spans="1:11" x14ac:dyDescent="0.2">
      <c r="A2" t="s">
        <v>86</v>
      </c>
      <c r="B2" t="s">
        <v>87</v>
      </c>
      <c r="C2" t="s">
        <v>3</v>
      </c>
      <c r="D2">
        <v>951.745</v>
      </c>
      <c r="E2">
        <v>8507369.159</v>
      </c>
      <c r="F2">
        <v>3344241.2740000002</v>
      </c>
      <c r="G2">
        <f t="shared" ref="G2:G12" si="0">F2/E2</f>
        <v>0.3930993485174093</v>
      </c>
      <c r="H2">
        <v>915.65200000000004</v>
      </c>
      <c r="I2">
        <v>18550498.313000001</v>
      </c>
      <c r="J2">
        <v>12819512.703</v>
      </c>
      <c r="K2">
        <f t="shared" ref="K2:K12" si="1">J2/I2</f>
        <v>0.69106028779918083</v>
      </c>
    </row>
    <row r="3" spans="1:11" x14ac:dyDescent="0.2">
      <c r="A3" t="s">
        <v>88</v>
      </c>
      <c r="B3" t="s">
        <v>87</v>
      </c>
      <c r="C3" t="s">
        <v>4</v>
      </c>
      <c r="D3">
        <v>1297.134</v>
      </c>
      <c r="E3">
        <v>21591967.397999998</v>
      </c>
      <c r="F3">
        <v>15580247.77</v>
      </c>
      <c r="G3">
        <f t="shared" si="0"/>
        <v>0.72157610665173355</v>
      </c>
      <c r="H3">
        <v>1078.6289999999999</v>
      </c>
      <c r="I3">
        <v>28798234.726</v>
      </c>
      <c r="J3">
        <v>23562758.631000001</v>
      </c>
      <c r="K3">
        <f t="shared" si="1"/>
        <v>0.81820149238962769</v>
      </c>
    </row>
    <row r="4" spans="1:11" x14ac:dyDescent="0.2">
      <c r="A4" t="s">
        <v>89</v>
      </c>
      <c r="B4" t="s">
        <v>87</v>
      </c>
      <c r="C4" t="s">
        <v>5</v>
      </c>
      <c r="D4">
        <v>1033</v>
      </c>
      <c r="E4">
        <v>13340000</v>
      </c>
      <c r="F4">
        <v>2982000</v>
      </c>
      <c r="G4">
        <f t="shared" si="0"/>
        <v>0.22353823088455771</v>
      </c>
      <c r="H4">
        <v>1024</v>
      </c>
      <c r="I4">
        <v>14130000</v>
      </c>
      <c r="J4">
        <v>3338000</v>
      </c>
      <c r="K4">
        <f t="shared" si="1"/>
        <v>0.23623496107572542</v>
      </c>
    </row>
    <row r="5" spans="1:11" x14ac:dyDescent="0.2">
      <c r="A5" t="s">
        <v>90</v>
      </c>
      <c r="B5" t="s">
        <v>87</v>
      </c>
      <c r="C5" t="s">
        <v>6</v>
      </c>
      <c r="D5">
        <v>842.8</v>
      </c>
      <c r="E5">
        <v>9276000</v>
      </c>
      <c r="F5">
        <v>3687000</v>
      </c>
      <c r="G5">
        <f t="shared" si="0"/>
        <v>0.39747736093143599</v>
      </c>
      <c r="H5">
        <v>758.6</v>
      </c>
      <c r="I5">
        <v>7549000</v>
      </c>
      <c r="J5">
        <v>3126000</v>
      </c>
      <c r="K5">
        <f t="shared" si="1"/>
        <v>0.41409458206384953</v>
      </c>
    </row>
    <row r="6" spans="1:11" x14ac:dyDescent="0.2">
      <c r="A6" t="s">
        <v>91</v>
      </c>
      <c r="B6" t="s">
        <v>87</v>
      </c>
      <c r="C6" t="s">
        <v>7</v>
      </c>
      <c r="D6">
        <v>1185</v>
      </c>
      <c r="E6">
        <v>19900000</v>
      </c>
      <c r="F6">
        <v>15300000</v>
      </c>
      <c r="G6">
        <f t="shared" si="0"/>
        <v>0.76884422110552764</v>
      </c>
      <c r="H6">
        <v>1084</v>
      </c>
      <c r="I6">
        <v>19230000</v>
      </c>
      <c r="J6">
        <v>15630000</v>
      </c>
      <c r="K6">
        <f t="shared" si="1"/>
        <v>0.81279251170046807</v>
      </c>
    </row>
    <row r="7" spans="1:11" x14ac:dyDescent="0.2">
      <c r="A7" t="s">
        <v>92</v>
      </c>
      <c r="B7" t="s">
        <v>87</v>
      </c>
      <c r="C7" t="s">
        <v>8</v>
      </c>
      <c r="D7">
        <v>1057</v>
      </c>
      <c r="E7">
        <v>9786000</v>
      </c>
      <c r="F7">
        <v>4096000</v>
      </c>
      <c r="G7">
        <f t="shared" si="0"/>
        <v>0.41855712241978338</v>
      </c>
      <c r="H7">
        <v>1156</v>
      </c>
      <c r="I7">
        <v>12440000</v>
      </c>
      <c r="J7">
        <v>5469000</v>
      </c>
      <c r="K7">
        <f t="shared" si="1"/>
        <v>0.43963022508038585</v>
      </c>
    </row>
    <row r="8" spans="1:11" x14ac:dyDescent="0.2">
      <c r="A8" t="s">
        <v>93</v>
      </c>
      <c r="B8" t="s">
        <v>87</v>
      </c>
      <c r="C8" t="s">
        <v>9</v>
      </c>
      <c r="D8">
        <v>872</v>
      </c>
      <c r="E8">
        <v>25330000</v>
      </c>
      <c r="F8">
        <v>17040000</v>
      </c>
      <c r="G8">
        <f t="shared" si="0"/>
        <v>0.67272009474930916</v>
      </c>
      <c r="H8">
        <v>1072</v>
      </c>
      <c r="I8">
        <v>23360000</v>
      </c>
      <c r="J8">
        <v>8121000</v>
      </c>
      <c r="K8">
        <f t="shared" si="1"/>
        <v>0.34764554794520547</v>
      </c>
    </row>
    <row r="9" spans="1:11" x14ac:dyDescent="0.2">
      <c r="A9" t="s">
        <v>94</v>
      </c>
      <c r="B9" t="s">
        <v>95</v>
      </c>
      <c r="C9" t="s">
        <v>10</v>
      </c>
      <c r="D9">
        <v>1395</v>
      </c>
      <c r="E9">
        <v>13750000</v>
      </c>
      <c r="F9">
        <v>13760000</v>
      </c>
      <c r="G9">
        <f t="shared" si="0"/>
        <v>1.0007272727272727</v>
      </c>
      <c r="H9">
        <v>1174</v>
      </c>
      <c r="I9">
        <v>37340000</v>
      </c>
      <c r="J9">
        <v>81690000</v>
      </c>
      <c r="K9">
        <f t="shared" si="1"/>
        <v>2.1877343331547938</v>
      </c>
    </row>
    <row r="10" spans="1:11" x14ac:dyDescent="0.2">
      <c r="A10" t="s">
        <v>96</v>
      </c>
      <c r="B10" t="s">
        <v>95</v>
      </c>
      <c r="C10" t="s">
        <v>11</v>
      </c>
      <c r="D10">
        <v>1483</v>
      </c>
      <c r="E10">
        <v>24130000</v>
      </c>
      <c r="F10">
        <v>41830000</v>
      </c>
      <c r="G10">
        <f t="shared" si="0"/>
        <v>1.7335267302113551</v>
      </c>
      <c r="H10">
        <v>1467</v>
      </c>
      <c r="I10">
        <v>13670000</v>
      </c>
      <c r="J10">
        <v>24310000</v>
      </c>
      <c r="K10">
        <f t="shared" si="1"/>
        <v>1.7783467446964154</v>
      </c>
    </row>
    <row r="11" spans="1:11" x14ac:dyDescent="0.2">
      <c r="A11" t="s">
        <v>97</v>
      </c>
      <c r="B11" t="s">
        <v>95</v>
      </c>
      <c r="C11" t="s">
        <v>12</v>
      </c>
      <c r="D11">
        <v>1556</v>
      </c>
      <c r="E11">
        <v>26820000</v>
      </c>
      <c r="F11">
        <v>50920000</v>
      </c>
      <c r="G11">
        <f t="shared" si="0"/>
        <v>1.8985831469052945</v>
      </c>
      <c r="H11">
        <v>1449</v>
      </c>
      <c r="I11">
        <v>20850000</v>
      </c>
      <c r="J11">
        <v>31230000</v>
      </c>
      <c r="K11">
        <f t="shared" si="1"/>
        <v>1.497841726618705</v>
      </c>
    </row>
    <row r="12" spans="1:11" x14ac:dyDescent="0.2">
      <c r="A12" t="s">
        <v>98</v>
      </c>
      <c r="B12" t="s">
        <v>95</v>
      </c>
      <c r="C12" t="s">
        <v>13</v>
      </c>
      <c r="D12">
        <v>1264</v>
      </c>
      <c r="E12">
        <v>29760000</v>
      </c>
      <c r="F12">
        <v>45350000</v>
      </c>
      <c r="G12">
        <f t="shared" si="0"/>
        <v>1.5238575268817205</v>
      </c>
      <c r="H12">
        <v>765</v>
      </c>
      <c r="I12">
        <v>21850000</v>
      </c>
      <c r="J12">
        <v>49690000</v>
      </c>
      <c r="K12">
        <f t="shared" si="1"/>
        <v>2.2741418764302059</v>
      </c>
    </row>
    <row r="13" spans="1:11" x14ac:dyDescent="0.2">
      <c r="A13" t="s">
        <v>99</v>
      </c>
      <c r="B13" t="s">
        <v>95</v>
      </c>
      <c r="C13" t="s">
        <v>14</v>
      </c>
      <c r="D13">
        <v>1745</v>
      </c>
      <c r="E13">
        <v>25100000</v>
      </c>
      <c r="F13">
        <v>30750000</v>
      </c>
      <c r="G13">
        <f t="shared" ref="G13:G27" si="2">F13/E13</f>
        <v>1.2250996015936255</v>
      </c>
      <c r="H13">
        <v>1081</v>
      </c>
      <c r="I13">
        <v>21600000</v>
      </c>
      <c r="J13">
        <v>22480000</v>
      </c>
      <c r="K13">
        <f t="shared" ref="K13:K44" si="3">J13/I13</f>
        <v>1.0407407407407407</v>
      </c>
    </row>
    <row r="14" spans="1:11" x14ac:dyDescent="0.2">
      <c r="A14" t="s">
        <v>100</v>
      </c>
      <c r="B14" t="s">
        <v>95</v>
      </c>
      <c r="C14" t="s">
        <v>15</v>
      </c>
      <c r="D14">
        <v>1319</v>
      </c>
      <c r="E14">
        <v>24650000</v>
      </c>
      <c r="F14">
        <v>56610000</v>
      </c>
      <c r="G14">
        <f t="shared" si="2"/>
        <v>2.296551724137931</v>
      </c>
      <c r="H14">
        <v>1148</v>
      </c>
      <c r="I14">
        <v>33940000</v>
      </c>
      <c r="J14">
        <v>99770000</v>
      </c>
      <c r="K14">
        <f t="shared" si="3"/>
        <v>2.9395992928697701</v>
      </c>
    </row>
    <row r="15" spans="1:11" x14ac:dyDescent="0.2">
      <c r="A15" t="s">
        <v>101</v>
      </c>
      <c r="B15" t="s">
        <v>95</v>
      </c>
      <c r="C15" t="s">
        <v>16</v>
      </c>
      <c r="D15">
        <v>799.4</v>
      </c>
      <c r="E15">
        <v>13390000</v>
      </c>
      <c r="F15">
        <v>20580000</v>
      </c>
      <c r="G15">
        <f t="shared" si="2"/>
        <v>1.5369678864824496</v>
      </c>
      <c r="H15">
        <v>966.7</v>
      </c>
      <c r="I15">
        <v>14620000</v>
      </c>
      <c r="J15">
        <v>19300000</v>
      </c>
      <c r="K15">
        <f t="shared" si="3"/>
        <v>1.320109439124487</v>
      </c>
    </row>
    <row r="16" spans="1:11" x14ac:dyDescent="0.2">
      <c r="A16" t="s">
        <v>102</v>
      </c>
      <c r="B16" t="s">
        <v>95</v>
      </c>
      <c r="C16" t="s">
        <v>17</v>
      </c>
      <c r="D16">
        <v>1189</v>
      </c>
      <c r="E16">
        <v>28400000</v>
      </c>
      <c r="F16">
        <v>76460000</v>
      </c>
      <c r="G16">
        <f t="shared" si="2"/>
        <v>2.6922535211267604</v>
      </c>
      <c r="H16">
        <v>1213</v>
      </c>
      <c r="I16">
        <v>26230000</v>
      </c>
      <c r="J16">
        <v>66910000</v>
      </c>
      <c r="K16">
        <f t="shared" si="3"/>
        <v>2.5508959207014867</v>
      </c>
    </row>
    <row r="17" spans="1:11" x14ac:dyDescent="0.2">
      <c r="A17" t="s">
        <v>103</v>
      </c>
      <c r="B17" t="s">
        <v>95</v>
      </c>
      <c r="C17" t="s">
        <v>18</v>
      </c>
      <c r="D17">
        <v>1431</v>
      </c>
      <c r="E17">
        <v>10710000</v>
      </c>
      <c r="F17">
        <v>9911000</v>
      </c>
      <c r="G17">
        <f t="shared" si="2"/>
        <v>0.92539682539682544</v>
      </c>
      <c r="H17">
        <v>1452</v>
      </c>
      <c r="I17">
        <v>13370000</v>
      </c>
      <c r="J17">
        <v>15670000</v>
      </c>
      <c r="K17">
        <f t="shared" si="3"/>
        <v>1.1720269259536276</v>
      </c>
    </row>
    <row r="18" spans="1:11" x14ac:dyDescent="0.2">
      <c r="A18" t="s">
        <v>104</v>
      </c>
      <c r="B18" t="s">
        <v>95</v>
      </c>
      <c r="C18" t="s">
        <v>19</v>
      </c>
      <c r="D18">
        <v>1708</v>
      </c>
      <c r="E18">
        <v>52210000</v>
      </c>
      <c r="F18">
        <v>92050000</v>
      </c>
      <c r="G18">
        <f t="shared" si="2"/>
        <v>1.7630722083891974</v>
      </c>
      <c r="H18">
        <v>1421</v>
      </c>
      <c r="I18">
        <v>32580000</v>
      </c>
      <c r="J18">
        <v>56760000</v>
      </c>
      <c r="K18">
        <f t="shared" si="3"/>
        <v>1.7421731123388582</v>
      </c>
    </row>
    <row r="19" spans="1:11" x14ac:dyDescent="0.2">
      <c r="A19" t="s">
        <v>105</v>
      </c>
      <c r="B19" t="s">
        <v>106</v>
      </c>
      <c r="C19" t="s">
        <v>20</v>
      </c>
      <c r="D19">
        <v>1546</v>
      </c>
      <c r="E19">
        <v>24160000</v>
      </c>
      <c r="F19">
        <v>4664000</v>
      </c>
      <c r="G19">
        <f t="shared" si="2"/>
        <v>0.19304635761589403</v>
      </c>
      <c r="H19">
        <v>1215</v>
      </c>
      <c r="I19">
        <v>10530000</v>
      </c>
      <c r="J19">
        <v>1868000</v>
      </c>
      <c r="K19">
        <f t="shared" si="3"/>
        <v>0.17739791073124406</v>
      </c>
    </row>
    <row r="20" spans="1:11" x14ac:dyDescent="0.2">
      <c r="A20" t="s">
        <v>107</v>
      </c>
      <c r="B20" t="s">
        <v>106</v>
      </c>
      <c r="C20" t="s">
        <v>21</v>
      </c>
      <c r="D20">
        <v>1847</v>
      </c>
      <c r="E20">
        <v>30860000</v>
      </c>
      <c r="F20">
        <v>9397000</v>
      </c>
      <c r="G20">
        <f t="shared" si="2"/>
        <v>0.30450421257290994</v>
      </c>
      <c r="H20">
        <v>1740</v>
      </c>
      <c r="I20">
        <v>19070000</v>
      </c>
      <c r="J20">
        <v>5613000</v>
      </c>
      <c r="K20">
        <f t="shared" si="3"/>
        <v>0.29433665443104351</v>
      </c>
    </row>
    <row r="21" spans="1:11" x14ac:dyDescent="0.2">
      <c r="A21" t="s">
        <v>108</v>
      </c>
      <c r="B21" t="s">
        <v>106</v>
      </c>
      <c r="C21" t="s">
        <v>22</v>
      </c>
      <c r="D21">
        <v>1635</v>
      </c>
      <c r="E21">
        <v>26790000</v>
      </c>
      <c r="F21">
        <v>10960000</v>
      </c>
      <c r="G21">
        <f t="shared" si="2"/>
        <v>0.40910787607316162</v>
      </c>
      <c r="H21">
        <v>1753</v>
      </c>
      <c r="I21">
        <v>28750000</v>
      </c>
      <c r="J21">
        <v>14990000</v>
      </c>
      <c r="K21">
        <f t="shared" si="3"/>
        <v>0.5213913043478261</v>
      </c>
    </row>
    <row r="22" spans="1:11" x14ac:dyDescent="0.2">
      <c r="A22" t="s">
        <v>109</v>
      </c>
      <c r="B22" t="s">
        <v>106</v>
      </c>
      <c r="C22" t="s">
        <v>23</v>
      </c>
      <c r="D22">
        <v>2514</v>
      </c>
      <c r="E22">
        <v>47870000</v>
      </c>
      <c r="F22">
        <v>31480000</v>
      </c>
      <c r="G22">
        <f t="shared" si="2"/>
        <v>0.6576143722581993</v>
      </c>
      <c r="H22">
        <v>1701</v>
      </c>
      <c r="I22">
        <v>26810000</v>
      </c>
      <c r="J22">
        <v>16990000</v>
      </c>
      <c r="K22">
        <f t="shared" si="3"/>
        <v>0.63371876165609842</v>
      </c>
    </row>
    <row r="23" spans="1:11" x14ac:dyDescent="0.2">
      <c r="A23" t="s">
        <v>110</v>
      </c>
      <c r="B23" t="s">
        <v>106</v>
      </c>
      <c r="C23" t="s">
        <v>24</v>
      </c>
      <c r="D23">
        <v>1437</v>
      </c>
      <c r="E23">
        <v>38780000</v>
      </c>
      <c r="F23">
        <v>17300000</v>
      </c>
      <c r="G23">
        <f t="shared" si="2"/>
        <v>0.44610624033006707</v>
      </c>
      <c r="H23">
        <v>1263</v>
      </c>
      <c r="I23">
        <v>39700000</v>
      </c>
      <c r="J23">
        <v>37950000</v>
      </c>
      <c r="K23">
        <f t="shared" si="3"/>
        <v>0.95591939546599491</v>
      </c>
    </row>
    <row r="24" spans="1:11" x14ac:dyDescent="0.2">
      <c r="A24" t="s">
        <v>111</v>
      </c>
      <c r="B24" t="s">
        <v>106</v>
      </c>
      <c r="C24" t="s">
        <v>25</v>
      </c>
      <c r="D24">
        <v>1061</v>
      </c>
      <c r="E24">
        <v>18770000</v>
      </c>
      <c r="F24">
        <v>18660000</v>
      </c>
      <c r="G24">
        <f t="shared" si="2"/>
        <v>0.99413958444326056</v>
      </c>
      <c r="H24">
        <v>1066</v>
      </c>
      <c r="I24">
        <v>19220000</v>
      </c>
      <c r="J24">
        <v>18710000</v>
      </c>
      <c r="K24">
        <f t="shared" si="3"/>
        <v>0.97346514047866806</v>
      </c>
    </row>
    <row r="25" spans="1:11" x14ac:dyDescent="0.2">
      <c r="A25" t="s">
        <v>112</v>
      </c>
      <c r="B25" t="s">
        <v>106</v>
      </c>
      <c r="C25" t="s">
        <v>26</v>
      </c>
      <c r="D25">
        <v>3143</v>
      </c>
      <c r="E25">
        <v>98570000</v>
      </c>
      <c r="F25">
        <v>46260000</v>
      </c>
      <c r="G25">
        <f t="shared" si="2"/>
        <v>0.46931114943694835</v>
      </c>
      <c r="H25">
        <v>1917</v>
      </c>
      <c r="I25">
        <v>50950000</v>
      </c>
      <c r="J25">
        <v>31070000</v>
      </c>
      <c r="K25">
        <f t="shared" si="3"/>
        <v>0.60981354268891075</v>
      </c>
    </row>
    <row r="26" spans="1:11" x14ac:dyDescent="0.2">
      <c r="A26" t="s">
        <v>113</v>
      </c>
      <c r="B26" t="s">
        <v>106</v>
      </c>
      <c r="C26" t="s">
        <v>27</v>
      </c>
      <c r="D26">
        <v>1432</v>
      </c>
      <c r="E26">
        <v>35390000</v>
      </c>
      <c r="F26">
        <v>26630000</v>
      </c>
      <c r="G26">
        <f t="shared" si="2"/>
        <v>0.75247244984458883</v>
      </c>
      <c r="H26">
        <v>1605</v>
      </c>
      <c r="I26">
        <v>45970000</v>
      </c>
      <c r="J26">
        <v>40230000</v>
      </c>
      <c r="K26">
        <f t="shared" si="3"/>
        <v>0.87513595823363066</v>
      </c>
    </row>
    <row r="27" spans="1:11" x14ac:dyDescent="0.2">
      <c r="A27" t="s">
        <v>114</v>
      </c>
      <c r="B27" t="s">
        <v>106</v>
      </c>
      <c r="C27" t="s">
        <v>28</v>
      </c>
      <c r="D27">
        <v>1210</v>
      </c>
      <c r="E27">
        <v>24380000</v>
      </c>
      <c r="F27">
        <v>13570000</v>
      </c>
      <c r="G27">
        <f t="shared" si="2"/>
        <v>0.55660377358490565</v>
      </c>
      <c r="H27">
        <v>692.7</v>
      </c>
      <c r="I27">
        <v>10080000</v>
      </c>
      <c r="J27">
        <v>2500000</v>
      </c>
      <c r="K27">
        <f t="shared" si="3"/>
        <v>0.24801587301587302</v>
      </c>
    </row>
    <row r="28" spans="1:11" x14ac:dyDescent="0.2">
      <c r="A28" t="s">
        <v>115</v>
      </c>
      <c r="B28" t="s">
        <v>116</v>
      </c>
      <c r="C28" t="s">
        <v>29</v>
      </c>
      <c r="D28">
        <v>1114</v>
      </c>
      <c r="E28">
        <v>33600000</v>
      </c>
      <c r="F28">
        <v>30940000</v>
      </c>
      <c r="G28">
        <f t="shared" ref="G28:G46" si="4">F28/E28</f>
        <v>0.92083333333333328</v>
      </c>
      <c r="H28">
        <v>1251</v>
      </c>
      <c r="I28">
        <v>22540000</v>
      </c>
      <c r="J28">
        <v>15350000</v>
      </c>
      <c r="K28">
        <f t="shared" si="3"/>
        <v>0.68101153504880207</v>
      </c>
    </row>
    <row r="29" spans="1:11" x14ac:dyDescent="0.2">
      <c r="A29" t="s">
        <v>117</v>
      </c>
      <c r="B29" t="s">
        <v>116</v>
      </c>
      <c r="C29" t="s">
        <v>30</v>
      </c>
      <c r="D29">
        <v>1337</v>
      </c>
      <c r="E29">
        <v>25960000</v>
      </c>
      <c r="F29">
        <v>34690000</v>
      </c>
      <c r="G29">
        <f t="shared" si="4"/>
        <v>1.3362865947611711</v>
      </c>
      <c r="H29">
        <v>1408</v>
      </c>
      <c r="I29">
        <v>26620000</v>
      </c>
      <c r="J29">
        <v>32480000</v>
      </c>
      <c r="K29">
        <f t="shared" si="3"/>
        <v>1.2201352366641622</v>
      </c>
    </row>
    <row r="30" spans="1:11" x14ac:dyDescent="0.2">
      <c r="A30" t="s">
        <v>118</v>
      </c>
      <c r="B30" t="s">
        <v>116</v>
      </c>
      <c r="C30" t="s">
        <v>31</v>
      </c>
      <c r="D30">
        <v>1043</v>
      </c>
      <c r="E30">
        <v>20110000</v>
      </c>
      <c r="F30">
        <v>10260000</v>
      </c>
      <c r="G30">
        <f t="shared" si="4"/>
        <v>0.51019393336648433</v>
      </c>
      <c r="H30">
        <v>1131</v>
      </c>
      <c r="I30">
        <v>14720000</v>
      </c>
      <c r="J30">
        <v>7253000</v>
      </c>
      <c r="K30">
        <f t="shared" si="3"/>
        <v>0.49273097826086959</v>
      </c>
    </row>
    <row r="31" spans="1:11" x14ac:dyDescent="0.2">
      <c r="A31" t="s">
        <v>119</v>
      </c>
      <c r="B31" t="s">
        <v>120</v>
      </c>
      <c r="C31" t="s">
        <v>32</v>
      </c>
      <c r="D31">
        <v>1015</v>
      </c>
      <c r="E31">
        <v>58620000</v>
      </c>
      <c r="F31">
        <v>127600000</v>
      </c>
      <c r="G31">
        <f t="shared" si="4"/>
        <v>2.176731490958717</v>
      </c>
      <c r="H31">
        <v>906.5</v>
      </c>
      <c r="I31">
        <v>57240000</v>
      </c>
      <c r="J31">
        <v>109300000</v>
      </c>
      <c r="K31">
        <f t="shared" si="3"/>
        <v>1.9095038434661076</v>
      </c>
    </row>
    <row r="32" spans="1:11" x14ac:dyDescent="0.2">
      <c r="A32" t="s">
        <v>121</v>
      </c>
      <c r="B32" t="s">
        <v>120</v>
      </c>
      <c r="C32" t="s">
        <v>33</v>
      </c>
      <c r="D32">
        <v>1224</v>
      </c>
      <c r="E32">
        <v>53580000</v>
      </c>
      <c r="F32">
        <v>106200000</v>
      </c>
      <c r="G32">
        <f t="shared" si="4"/>
        <v>1.9820828667413213</v>
      </c>
      <c r="H32">
        <v>1486</v>
      </c>
      <c r="I32">
        <v>39630000</v>
      </c>
      <c r="J32">
        <v>61920000</v>
      </c>
      <c r="K32">
        <f t="shared" si="3"/>
        <v>1.562452687358062</v>
      </c>
    </row>
    <row r="33" spans="1:11" x14ac:dyDescent="0.2">
      <c r="A33" t="s">
        <v>122</v>
      </c>
      <c r="B33" t="s">
        <v>123</v>
      </c>
      <c r="C33" t="s">
        <v>34</v>
      </c>
      <c r="D33">
        <v>1074</v>
      </c>
      <c r="E33">
        <v>28770000</v>
      </c>
      <c r="F33">
        <v>38350000</v>
      </c>
      <c r="G33">
        <f t="shared" si="4"/>
        <v>1.3329857490441432</v>
      </c>
      <c r="H33">
        <v>1321</v>
      </c>
      <c r="I33">
        <v>15840000</v>
      </c>
      <c r="J33">
        <v>16840000</v>
      </c>
      <c r="K33">
        <f t="shared" si="3"/>
        <v>1.0631313131313131</v>
      </c>
    </row>
    <row r="34" spans="1:11" x14ac:dyDescent="0.2">
      <c r="A34" t="s">
        <v>124</v>
      </c>
      <c r="B34" t="s">
        <v>123</v>
      </c>
      <c r="C34" t="s">
        <v>35</v>
      </c>
      <c r="D34">
        <v>1473</v>
      </c>
      <c r="E34">
        <v>38220000</v>
      </c>
      <c r="F34">
        <v>73320000</v>
      </c>
      <c r="G34">
        <f t="shared" si="4"/>
        <v>1.9183673469387754</v>
      </c>
      <c r="H34">
        <v>1328</v>
      </c>
      <c r="I34">
        <v>51240000</v>
      </c>
      <c r="J34">
        <v>74540000</v>
      </c>
      <c r="K34">
        <f t="shared" si="3"/>
        <v>1.4547228727556596</v>
      </c>
    </row>
    <row r="35" spans="1:11" x14ac:dyDescent="0.2">
      <c r="A35" t="s">
        <v>125</v>
      </c>
      <c r="B35" t="s">
        <v>123</v>
      </c>
      <c r="C35" t="s">
        <v>36</v>
      </c>
      <c r="D35">
        <v>1116</v>
      </c>
      <c r="E35">
        <v>26900000</v>
      </c>
      <c r="F35">
        <v>43150000</v>
      </c>
      <c r="G35">
        <f t="shared" si="4"/>
        <v>1.6040892193308549</v>
      </c>
      <c r="H35">
        <v>1123</v>
      </c>
      <c r="I35">
        <v>22280000</v>
      </c>
      <c r="J35">
        <v>34980000</v>
      </c>
      <c r="K35">
        <f t="shared" si="3"/>
        <v>1.5700179533213645</v>
      </c>
    </row>
    <row r="36" spans="1:11" x14ac:dyDescent="0.2">
      <c r="A36" t="s">
        <v>126</v>
      </c>
      <c r="B36" t="s">
        <v>127</v>
      </c>
      <c r="C36" t="s">
        <v>37</v>
      </c>
      <c r="D36">
        <v>1328</v>
      </c>
      <c r="E36">
        <v>55630000</v>
      </c>
      <c r="F36">
        <v>99100000</v>
      </c>
      <c r="G36">
        <f t="shared" si="4"/>
        <v>1.7814129067050153</v>
      </c>
      <c r="H36">
        <v>1514</v>
      </c>
      <c r="I36">
        <v>54200000</v>
      </c>
      <c r="J36">
        <v>97710000</v>
      </c>
      <c r="K36">
        <f t="shared" si="3"/>
        <v>1.8027675276752768</v>
      </c>
    </row>
    <row r="37" spans="1:11" x14ac:dyDescent="0.2">
      <c r="A37" t="s">
        <v>128</v>
      </c>
      <c r="B37" t="s">
        <v>127</v>
      </c>
      <c r="C37" t="s">
        <v>38</v>
      </c>
      <c r="D37">
        <v>1287</v>
      </c>
      <c r="E37">
        <v>24370000</v>
      </c>
      <c r="F37">
        <v>29370000</v>
      </c>
      <c r="G37">
        <f t="shared" si="4"/>
        <v>1.2051702913418136</v>
      </c>
      <c r="H37">
        <v>1530</v>
      </c>
      <c r="I37">
        <v>14960000</v>
      </c>
      <c r="J37">
        <v>14720000</v>
      </c>
      <c r="K37">
        <f t="shared" si="3"/>
        <v>0.98395721925133695</v>
      </c>
    </row>
    <row r="38" spans="1:11" x14ac:dyDescent="0.2">
      <c r="A38" t="s">
        <v>129</v>
      </c>
      <c r="B38" t="s">
        <v>130</v>
      </c>
      <c r="C38" t="s">
        <v>39</v>
      </c>
      <c r="D38">
        <v>2713</v>
      </c>
      <c r="E38">
        <v>51800000</v>
      </c>
      <c r="F38">
        <v>7761000</v>
      </c>
      <c r="G38">
        <f t="shared" si="4"/>
        <v>0.14982625482625483</v>
      </c>
      <c r="H38">
        <v>1992</v>
      </c>
      <c r="I38">
        <v>35370000</v>
      </c>
      <c r="J38">
        <v>6372000</v>
      </c>
      <c r="K38">
        <f t="shared" si="3"/>
        <v>0.18015267175572519</v>
      </c>
    </row>
    <row r="39" spans="1:11" x14ac:dyDescent="0.2">
      <c r="A39" t="s">
        <v>131</v>
      </c>
      <c r="B39" t="s">
        <v>130</v>
      </c>
      <c r="C39" t="s">
        <v>40</v>
      </c>
      <c r="D39">
        <v>1560</v>
      </c>
      <c r="E39">
        <v>25540000</v>
      </c>
      <c r="F39">
        <v>7388000</v>
      </c>
      <c r="G39">
        <f t="shared" si="4"/>
        <v>0.28927173061863742</v>
      </c>
      <c r="H39">
        <v>2736</v>
      </c>
      <c r="I39">
        <v>26220000</v>
      </c>
      <c r="J39">
        <v>7633000</v>
      </c>
      <c r="K39">
        <f t="shared" si="3"/>
        <v>0.29111365369946607</v>
      </c>
    </row>
    <row r="40" spans="1:11" x14ac:dyDescent="0.2">
      <c r="A40" t="s">
        <v>132</v>
      </c>
      <c r="B40" t="s">
        <v>130</v>
      </c>
      <c r="C40" t="s">
        <v>43</v>
      </c>
      <c r="D40">
        <v>2038</v>
      </c>
      <c r="E40">
        <v>66620000</v>
      </c>
      <c r="F40">
        <v>16300000</v>
      </c>
      <c r="G40">
        <f t="shared" si="4"/>
        <v>0.24467126988892224</v>
      </c>
      <c r="H40">
        <v>3155</v>
      </c>
      <c r="I40">
        <v>48430000</v>
      </c>
      <c r="J40">
        <v>13920000</v>
      </c>
      <c r="K40">
        <f t="shared" si="3"/>
        <v>0.28742514970059879</v>
      </c>
    </row>
    <row r="41" spans="1:11" x14ac:dyDescent="0.2">
      <c r="A41" t="s">
        <v>133</v>
      </c>
      <c r="B41" t="s">
        <v>130</v>
      </c>
      <c r="C41" t="s">
        <v>44</v>
      </c>
      <c r="D41">
        <v>1756</v>
      </c>
      <c r="E41">
        <v>42010000</v>
      </c>
      <c r="F41">
        <v>5957000</v>
      </c>
      <c r="G41">
        <f t="shared" si="4"/>
        <v>0.14179957153058795</v>
      </c>
      <c r="H41">
        <v>1608</v>
      </c>
      <c r="I41">
        <v>56020000</v>
      </c>
      <c r="J41">
        <v>8722000</v>
      </c>
      <c r="K41">
        <f t="shared" si="3"/>
        <v>0.15569439485897893</v>
      </c>
    </row>
    <row r="42" spans="1:11" x14ac:dyDescent="0.2">
      <c r="A42" t="s">
        <v>134</v>
      </c>
      <c r="B42" t="s">
        <v>130</v>
      </c>
      <c r="C42" t="s">
        <v>45</v>
      </c>
      <c r="D42">
        <v>1617</v>
      </c>
      <c r="E42">
        <v>20410000</v>
      </c>
      <c r="F42">
        <v>8978000</v>
      </c>
      <c r="G42">
        <f t="shared" si="4"/>
        <v>0.4398824105830475</v>
      </c>
      <c r="H42">
        <v>2083</v>
      </c>
      <c r="I42">
        <v>24320000</v>
      </c>
      <c r="J42">
        <v>6967000</v>
      </c>
      <c r="K42">
        <f t="shared" si="3"/>
        <v>0.28647203947368421</v>
      </c>
    </row>
    <row r="43" spans="1:11" x14ac:dyDescent="0.2">
      <c r="A43" t="s">
        <v>135</v>
      </c>
      <c r="B43" t="s">
        <v>136</v>
      </c>
      <c r="C43" t="s">
        <v>46</v>
      </c>
      <c r="D43">
        <v>3198</v>
      </c>
      <c r="E43">
        <v>54160000</v>
      </c>
      <c r="F43">
        <v>10600000</v>
      </c>
      <c r="G43">
        <f t="shared" si="4"/>
        <v>0.19571639586410636</v>
      </c>
      <c r="H43">
        <v>3777</v>
      </c>
      <c r="I43">
        <v>76210000</v>
      </c>
      <c r="J43">
        <v>17300000</v>
      </c>
      <c r="K43">
        <f t="shared" si="3"/>
        <v>0.22700433014040153</v>
      </c>
    </row>
    <row r="44" spans="1:11" x14ac:dyDescent="0.2">
      <c r="A44" t="s">
        <v>137</v>
      </c>
      <c r="B44" t="s">
        <v>136</v>
      </c>
      <c r="C44" t="s">
        <v>47</v>
      </c>
      <c r="D44">
        <v>2636</v>
      </c>
      <c r="E44">
        <v>41070000</v>
      </c>
      <c r="F44">
        <v>7582000</v>
      </c>
      <c r="G44">
        <f t="shared" si="4"/>
        <v>0.18461163866569272</v>
      </c>
      <c r="H44">
        <v>2519</v>
      </c>
      <c r="I44">
        <v>49660000</v>
      </c>
      <c r="J44">
        <v>13120000</v>
      </c>
      <c r="K44">
        <f t="shared" si="3"/>
        <v>0.26419653644784535</v>
      </c>
    </row>
    <row r="45" spans="1:11" x14ac:dyDescent="0.2">
      <c r="A45" t="s">
        <v>138</v>
      </c>
      <c r="B45" t="s">
        <v>136</v>
      </c>
      <c r="C45" t="s">
        <v>48</v>
      </c>
      <c r="D45">
        <v>2687</v>
      </c>
      <c r="E45">
        <v>53070000</v>
      </c>
      <c r="F45">
        <v>5671000</v>
      </c>
      <c r="G45">
        <f t="shared" si="4"/>
        <v>0.10685886564914264</v>
      </c>
      <c r="H45">
        <v>2564</v>
      </c>
      <c r="I45">
        <v>37720000</v>
      </c>
      <c r="J45">
        <v>3946000</v>
      </c>
      <c r="K45">
        <f t="shared" ref="K45:K55" si="5">J45/I45</f>
        <v>0.10461293743372216</v>
      </c>
    </row>
    <row r="46" spans="1:11" x14ac:dyDescent="0.2">
      <c r="A46" t="s">
        <v>139</v>
      </c>
      <c r="B46" t="s">
        <v>136</v>
      </c>
      <c r="C46" t="s">
        <v>49</v>
      </c>
      <c r="D46">
        <v>1804</v>
      </c>
      <c r="E46">
        <v>28000000</v>
      </c>
      <c r="F46">
        <v>3055000</v>
      </c>
      <c r="G46">
        <f t="shared" si="4"/>
        <v>0.10910714285714286</v>
      </c>
      <c r="H46">
        <v>2123</v>
      </c>
      <c r="I46">
        <v>28720000</v>
      </c>
      <c r="J46">
        <v>3102000</v>
      </c>
      <c r="K46">
        <f t="shared" si="5"/>
        <v>0.108008356545961</v>
      </c>
    </row>
    <row r="47" spans="1:11" x14ac:dyDescent="0.2">
      <c r="A47" t="s">
        <v>140</v>
      </c>
      <c r="B47" t="s">
        <v>136</v>
      </c>
      <c r="C47" t="s">
        <v>50</v>
      </c>
      <c r="D47">
        <v>2129</v>
      </c>
      <c r="E47">
        <v>27680000</v>
      </c>
      <c r="F47">
        <v>3008000</v>
      </c>
      <c r="G47">
        <f t="shared" ref="G47:G60" si="6">F47/E47</f>
        <v>0.10867052023121387</v>
      </c>
      <c r="H47">
        <v>2663</v>
      </c>
      <c r="I47">
        <v>42170000</v>
      </c>
      <c r="J47">
        <v>4533000</v>
      </c>
      <c r="K47">
        <f t="shared" si="5"/>
        <v>0.10749347877638131</v>
      </c>
    </row>
    <row r="48" spans="1:11" x14ac:dyDescent="0.2">
      <c r="A48" t="s">
        <v>141</v>
      </c>
      <c r="B48" t="s">
        <v>136</v>
      </c>
      <c r="C48" t="s">
        <v>51</v>
      </c>
      <c r="D48">
        <v>2274</v>
      </c>
      <c r="E48">
        <v>56210000</v>
      </c>
      <c r="F48">
        <v>3430000</v>
      </c>
      <c r="G48">
        <f t="shared" si="6"/>
        <v>6.1021170610211707E-2</v>
      </c>
      <c r="H48">
        <v>2421</v>
      </c>
      <c r="I48">
        <v>91980000</v>
      </c>
      <c r="J48">
        <v>4460000</v>
      </c>
      <c r="K48">
        <f t="shared" si="5"/>
        <v>4.8488801913459445E-2</v>
      </c>
    </row>
    <row r="49" spans="1:11" x14ac:dyDescent="0.2">
      <c r="A49" t="s">
        <v>142</v>
      </c>
      <c r="B49" t="s">
        <v>136</v>
      </c>
      <c r="C49" t="s">
        <v>52</v>
      </c>
      <c r="D49">
        <v>2140</v>
      </c>
      <c r="E49">
        <v>24600000</v>
      </c>
      <c r="F49">
        <v>2321000</v>
      </c>
      <c r="G49">
        <f t="shared" si="6"/>
        <v>9.4349593495934955E-2</v>
      </c>
      <c r="H49">
        <v>2011</v>
      </c>
      <c r="I49">
        <v>17930000</v>
      </c>
      <c r="J49">
        <v>1589000</v>
      </c>
      <c r="K49">
        <f t="shared" si="5"/>
        <v>8.8622420524261017E-2</v>
      </c>
    </row>
    <row r="50" spans="1:11" x14ac:dyDescent="0.2">
      <c r="A50" t="s">
        <v>143</v>
      </c>
      <c r="B50" t="s">
        <v>136</v>
      </c>
      <c r="C50" t="s">
        <v>53</v>
      </c>
      <c r="D50">
        <v>2482</v>
      </c>
      <c r="E50">
        <v>75740000</v>
      </c>
      <c r="F50">
        <v>11520000</v>
      </c>
      <c r="G50">
        <f t="shared" si="6"/>
        <v>0.15209928703459202</v>
      </c>
      <c r="H50">
        <v>2488</v>
      </c>
      <c r="I50">
        <v>34320000</v>
      </c>
      <c r="J50">
        <v>5667000</v>
      </c>
      <c r="K50">
        <f t="shared" si="5"/>
        <v>0.16512237762237761</v>
      </c>
    </row>
    <row r="51" spans="1:11" x14ac:dyDescent="0.2">
      <c r="A51" t="s">
        <v>144</v>
      </c>
      <c r="B51" t="s">
        <v>136</v>
      </c>
      <c r="C51" t="s">
        <v>54</v>
      </c>
      <c r="D51">
        <v>2912</v>
      </c>
      <c r="E51">
        <v>20890000</v>
      </c>
      <c r="F51">
        <v>2619000</v>
      </c>
      <c r="G51">
        <f t="shared" si="6"/>
        <v>0.1253709909047391</v>
      </c>
      <c r="H51">
        <v>2591</v>
      </c>
      <c r="I51">
        <v>33750000</v>
      </c>
      <c r="J51">
        <v>3054000</v>
      </c>
      <c r="K51">
        <f t="shared" si="5"/>
        <v>9.0488888888888883E-2</v>
      </c>
    </row>
    <row r="52" spans="1:11" x14ac:dyDescent="0.2">
      <c r="A52" t="s">
        <v>145</v>
      </c>
      <c r="B52" t="s">
        <v>146</v>
      </c>
      <c r="C52" t="s">
        <v>55</v>
      </c>
      <c r="D52">
        <v>2071</v>
      </c>
      <c r="E52">
        <v>42380000</v>
      </c>
      <c r="F52">
        <v>7437000</v>
      </c>
      <c r="G52">
        <f t="shared" si="6"/>
        <v>0.17548371873525248</v>
      </c>
      <c r="H52">
        <v>2215</v>
      </c>
      <c r="I52">
        <v>61760000</v>
      </c>
      <c r="J52">
        <v>9705000</v>
      </c>
      <c r="K52">
        <f t="shared" si="5"/>
        <v>0.15714054404145078</v>
      </c>
    </row>
    <row r="53" spans="1:11" x14ac:dyDescent="0.2">
      <c r="A53" t="s">
        <v>147</v>
      </c>
      <c r="B53" t="s">
        <v>146</v>
      </c>
      <c r="C53" t="s">
        <v>56</v>
      </c>
      <c r="D53">
        <v>2909</v>
      </c>
      <c r="E53">
        <v>37990000</v>
      </c>
      <c r="F53">
        <v>4358000</v>
      </c>
      <c r="G53">
        <f t="shared" si="6"/>
        <v>0.11471439852592788</v>
      </c>
      <c r="H53">
        <v>3217</v>
      </c>
      <c r="I53">
        <v>32960000</v>
      </c>
      <c r="J53">
        <v>3224000</v>
      </c>
      <c r="K53">
        <f t="shared" si="5"/>
        <v>9.7815533980582528E-2</v>
      </c>
    </row>
    <row r="54" spans="1:11" x14ac:dyDescent="0.2">
      <c r="A54" t="s">
        <v>148</v>
      </c>
      <c r="B54" t="s">
        <v>146</v>
      </c>
      <c r="C54" t="s">
        <v>57</v>
      </c>
      <c r="D54">
        <v>3846</v>
      </c>
      <c r="E54">
        <v>63420000</v>
      </c>
      <c r="F54">
        <v>9650000</v>
      </c>
      <c r="G54">
        <f t="shared" si="6"/>
        <v>0.152160201829076</v>
      </c>
      <c r="H54">
        <v>1875</v>
      </c>
      <c r="I54">
        <v>27940000</v>
      </c>
      <c r="J54">
        <v>5623000</v>
      </c>
      <c r="K54">
        <f t="shared" si="5"/>
        <v>0.20125268432355045</v>
      </c>
    </row>
    <row r="55" spans="1:11" x14ac:dyDescent="0.2">
      <c r="A55" t="s">
        <v>149</v>
      </c>
      <c r="B55" t="s">
        <v>146</v>
      </c>
      <c r="C55" t="s">
        <v>58</v>
      </c>
      <c r="D55">
        <v>2012</v>
      </c>
      <c r="E55">
        <v>40390000</v>
      </c>
      <c r="F55">
        <v>7988000</v>
      </c>
      <c r="G55">
        <f t="shared" si="6"/>
        <v>0.19777172567467194</v>
      </c>
      <c r="H55">
        <v>2530</v>
      </c>
      <c r="I55">
        <v>34520000</v>
      </c>
      <c r="J55">
        <v>5238000</v>
      </c>
      <c r="K55">
        <f t="shared" si="5"/>
        <v>0.15173812282734647</v>
      </c>
    </row>
    <row r="56" spans="1:11" x14ac:dyDescent="0.2">
      <c r="A56" t="s">
        <v>150</v>
      </c>
      <c r="B56" t="s">
        <v>146</v>
      </c>
      <c r="C56" t="s">
        <v>59</v>
      </c>
      <c r="D56">
        <v>2118</v>
      </c>
      <c r="E56">
        <v>55490000</v>
      </c>
      <c r="F56">
        <v>14420000</v>
      </c>
      <c r="G56">
        <f t="shared" si="6"/>
        <v>0.25986664263831322</v>
      </c>
      <c r="H56">
        <v>2590</v>
      </c>
      <c r="I56">
        <v>36460000</v>
      </c>
      <c r="J56">
        <v>10720000</v>
      </c>
      <c r="K56">
        <f t="shared" ref="K56:K68" si="7">J56/I56</f>
        <v>0.29402084476138235</v>
      </c>
    </row>
    <row r="57" spans="1:11" x14ac:dyDescent="0.2">
      <c r="A57" t="s">
        <v>151</v>
      </c>
      <c r="B57" t="s">
        <v>146</v>
      </c>
      <c r="C57" t="s">
        <v>60</v>
      </c>
      <c r="D57">
        <v>2804</v>
      </c>
      <c r="E57">
        <v>56240000</v>
      </c>
      <c r="F57">
        <v>6598000</v>
      </c>
      <c r="G57">
        <f t="shared" si="6"/>
        <v>0.11731863442389759</v>
      </c>
      <c r="H57">
        <v>2344</v>
      </c>
      <c r="I57">
        <v>53520000</v>
      </c>
      <c r="J57">
        <v>13620000</v>
      </c>
      <c r="K57">
        <f t="shared" si="7"/>
        <v>0.25448430493273544</v>
      </c>
    </row>
    <row r="58" spans="1:11" x14ac:dyDescent="0.2">
      <c r="A58" t="s">
        <v>152</v>
      </c>
      <c r="B58" t="s">
        <v>146</v>
      </c>
      <c r="C58" t="s">
        <v>61</v>
      </c>
      <c r="D58">
        <v>2289</v>
      </c>
      <c r="E58">
        <v>61790000</v>
      </c>
      <c r="F58">
        <v>7273000</v>
      </c>
      <c r="G58">
        <f t="shared" si="6"/>
        <v>0.11770513027998059</v>
      </c>
      <c r="H58">
        <v>1604</v>
      </c>
      <c r="I58">
        <v>29720000</v>
      </c>
      <c r="J58">
        <v>3106000</v>
      </c>
      <c r="K58">
        <f t="shared" si="7"/>
        <v>0.10450874831763123</v>
      </c>
    </row>
    <row r="59" spans="1:11" x14ac:dyDescent="0.2">
      <c r="A59" t="s">
        <v>153</v>
      </c>
      <c r="B59" t="s">
        <v>146</v>
      </c>
      <c r="C59" t="s">
        <v>62</v>
      </c>
      <c r="D59">
        <v>2294</v>
      </c>
      <c r="E59">
        <v>80410000</v>
      </c>
      <c r="F59">
        <v>5834000</v>
      </c>
      <c r="G59">
        <f t="shared" si="6"/>
        <v>7.2553165029225222E-2</v>
      </c>
      <c r="H59">
        <v>2342</v>
      </c>
      <c r="I59">
        <v>87130000</v>
      </c>
      <c r="J59">
        <v>6671000</v>
      </c>
      <c r="K59">
        <f t="shared" si="7"/>
        <v>7.6563755308160217E-2</v>
      </c>
    </row>
    <row r="60" spans="1:11" x14ac:dyDescent="0.2">
      <c r="A60" t="s">
        <v>154</v>
      </c>
      <c r="B60" t="s">
        <v>146</v>
      </c>
      <c r="C60" t="s">
        <v>63</v>
      </c>
      <c r="D60">
        <v>2116</v>
      </c>
      <c r="E60">
        <v>33630000</v>
      </c>
      <c r="F60">
        <v>3474000</v>
      </c>
      <c r="G60">
        <f t="shared" si="6"/>
        <v>0.10330062444246209</v>
      </c>
      <c r="H60">
        <v>2547</v>
      </c>
      <c r="I60">
        <v>32130000</v>
      </c>
      <c r="J60">
        <v>2986000</v>
      </c>
      <c r="K60">
        <f t="shared" si="7"/>
        <v>9.2934951758481169E-2</v>
      </c>
    </row>
    <row r="61" spans="1:11" x14ac:dyDescent="0.2">
      <c r="A61" t="s">
        <v>155</v>
      </c>
      <c r="B61" t="s">
        <v>156</v>
      </c>
      <c r="C61" t="s">
        <v>64</v>
      </c>
      <c r="D61">
        <v>1226</v>
      </c>
      <c r="E61">
        <v>23210000</v>
      </c>
      <c r="F61">
        <v>2026000</v>
      </c>
      <c r="G61">
        <f t="shared" ref="G61:G69" si="8">F61/E61</f>
        <v>8.7289961223610518E-2</v>
      </c>
      <c r="H61">
        <v>1248</v>
      </c>
      <c r="I61">
        <v>19030000</v>
      </c>
      <c r="J61">
        <v>2336000</v>
      </c>
      <c r="K61">
        <f t="shared" si="7"/>
        <v>0.12275354703100368</v>
      </c>
    </row>
    <row r="62" spans="1:11" x14ac:dyDescent="0.2">
      <c r="A62" t="s">
        <v>157</v>
      </c>
      <c r="B62" t="s">
        <v>156</v>
      </c>
      <c r="C62" t="s">
        <v>65</v>
      </c>
      <c r="D62">
        <v>2815</v>
      </c>
      <c r="E62">
        <v>30530000</v>
      </c>
      <c r="F62">
        <v>3626000</v>
      </c>
      <c r="G62">
        <f t="shared" si="8"/>
        <v>0.11876842450049133</v>
      </c>
      <c r="H62">
        <v>2872</v>
      </c>
      <c r="I62">
        <v>31770000</v>
      </c>
      <c r="J62">
        <v>4756000</v>
      </c>
      <c r="K62">
        <f t="shared" si="7"/>
        <v>0.14970097576329872</v>
      </c>
    </row>
    <row r="63" spans="1:11" x14ac:dyDescent="0.2">
      <c r="A63" t="s">
        <v>158</v>
      </c>
      <c r="B63" t="s">
        <v>156</v>
      </c>
      <c r="C63" t="s">
        <v>66</v>
      </c>
      <c r="D63">
        <v>2306</v>
      </c>
      <c r="E63">
        <v>46010000</v>
      </c>
      <c r="F63">
        <v>5911000</v>
      </c>
      <c r="G63">
        <f t="shared" si="8"/>
        <v>0.12847207128885024</v>
      </c>
      <c r="H63">
        <v>2087</v>
      </c>
      <c r="I63">
        <v>25780000</v>
      </c>
      <c r="J63">
        <v>2444000</v>
      </c>
      <c r="K63">
        <f t="shared" si="7"/>
        <v>9.48021722265322E-2</v>
      </c>
    </row>
    <row r="64" spans="1:11" x14ac:dyDescent="0.2">
      <c r="A64" t="s">
        <v>159</v>
      </c>
      <c r="B64" t="s">
        <v>160</v>
      </c>
      <c r="C64" t="s">
        <v>67</v>
      </c>
      <c r="D64">
        <v>3243</v>
      </c>
      <c r="E64">
        <v>46140000</v>
      </c>
      <c r="F64">
        <v>6100000</v>
      </c>
      <c r="G64">
        <f t="shared" si="8"/>
        <v>0.13220632856523623</v>
      </c>
      <c r="H64">
        <v>2524</v>
      </c>
      <c r="I64">
        <v>35720000</v>
      </c>
      <c r="J64">
        <v>5243000</v>
      </c>
      <c r="K64">
        <f t="shared" si="7"/>
        <v>0.1467805151175812</v>
      </c>
    </row>
    <row r="65" spans="1:11" x14ac:dyDescent="0.2">
      <c r="A65" t="s">
        <v>161</v>
      </c>
      <c r="B65" t="s">
        <v>160</v>
      </c>
      <c r="C65" t="s">
        <v>68</v>
      </c>
      <c r="D65">
        <v>3209</v>
      </c>
      <c r="E65">
        <v>15960000</v>
      </c>
      <c r="F65">
        <v>2277000</v>
      </c>
      <c r="G65">
        <f t="shared" si="8"/>
        <v>0.14266917293233083</v>
      </c>
      <c r="H65">
        <v>2652</v>
      </c>
      <c r="I65">
        <v>43810000</v>
      </c>
      <c r="J65">
        <v>12070000</v>
      </c>
      <c r="K65">
        <f t="shared" si="7"/>
        <v>0.27550787491440309</v>
      </c>
    </row>
    <row r="66" spans="1:11" x14ac:dyDescent="0.2">
      <c r="A66" t="s">
        <v>162</v>
      </c>
      <c r="B66" t="s">
        <v>160</v>
      </c>
      <c r="C66" t="s">
        <v>69</v>
      </c>
      <c r="D66">
        <v>2677</v>
      </c>
      <c r="E66">
        <v>37220000</v>
      </c>
      <c r="F66">
        <v>9826000</v>
      </c>
      <c r="G66">
        <f t="shared" si="8"/>
        <v>0.26399785061794734</v>
      </c>
      <c r="H66">
        <v>2830</v>
      </c>
      <c r="I66">
        <v>49840000</v>
      </c>
      <c r="J66">
        <v>14070000</v>
      </c>
      <c r="K66">
        <f t="shared" si="7"/>
        <v>0.28230337078651685</v>
      </c>
    </row>
    <row r="67" spans="1:11" x14ac:dyDescent="0.2">
      <c r="A67" t="s">
        <v>163</v>
      </c>
      <c r="B67" t="s">
        <v>164</v>
      </c>
      <c r="C67" t="s">
        <v>70</v>
      </c>
      <c r="D67">
        <v>2277</v>
      </c>
      <c r="E67">
        <v>54200000</v>
      </c>
      <c r="F67">
        <v>8994000</v>
      </c>
      <c r="G67">
        <f t="shared" si="8"/>
        <v>0.16594095940959411</v>
      </c>
      <c r="H67">
        <v>2338</v>
      </c>
      <c r="I67">
        <v>56530000</v>
      </c>
      <c r="J67">
        <v>16900000</v>
      </c>
      <c r="K67">
        <f t="shared" si="7"/>
        <v>0.29895630638598975</v>
      </c>
    </row>
    <row r="68" spans="1:11" x14ac:dyDescent="0.2">
      <c r="A68" t="s">
        <v>165</v>
      </c>
      <c r="B68" t="s">
        <v>164</v>
      </c>
      <c r="C68" t="s">
        <v>71</v>
      </c>
      <c r="D68">
        <v>3149</v>
      </c>
      <c r="E68">
        <v>46120000</v>
      </c>
      <c r="F68">
        <v>10700000</v>
      </c>
      <c r="G68">
        <f t="shared" si="8"/>
        <v>0.23200346921075454</v>
      </c>
      <c r="H68">
        <v>2947</v>
      </c>
      <c r="I68">
        <v>26650000</v>
      </c>
      <c r="J68">
        <v>3672000</v>
      </c>
      <c r="K68">
        <f t="shared" si="7"/>
        <v>0.13778611632270168</v>
      </c>
    </row>
    <row r="69" spans="1:11" x14ac:dyDescent="0.2">
      <c r="A69" t="s">
        <v>166</v>
      </c>
      <c r="B69" t="s">
        <v>164</v>
      </c>
      <c r="C69" t="s">
        <v>72</v>
      </c>
      <c r="D69">
        <v>2151</v>
      </c>
      <c r="E69">
        <v>16760000</v>
      </c>
      <c r="F69">
        <v>2027000</v>
      </c>
      <c r="G69">
        <f t="shared" si="8"/>
        <v>0.12094272076372314</v>
      </c>
      <c r="H69" t="s">
        <v>42</v>
      </c>
      <c r="I69" t="s">
        <v>42</v>
      </c>
      <c r="J69" t="s">
        <v>42</v>
      </c>
      <c r="K69" t="s">
        <v>42</v>
      </c>
    </row>
    <row r="70" spans="1:11" x14ac:dyDescent="0.2">
      <c r="A70" t="s">
        <v>167</v>
      </c>
      <c r="B70" t="s">
        <v>164</v>
      </c>
      <c r="C70" t="s">
        <v>73</v>
      </c>
      <c r="D70" t="s">
        <v>41</v>
      </c>
      <c r="E70" t="s">
        <v>41</v>
      </c>
      <c r="F70" t="s">
        <v>41</v>
      </c>
      <c r="G70" t="s">
        <v>41</v>
      </c>
      <c r="H70">
        <v>2207</v>
      </c>
      <c r="I70">
        <v>26200000</v>
      </c>
      <c r="J70">
        <v>3795000</v>
      </c>
      <c r="K70">
        <f>J70/I70</f>
        <v>0.14484732824427482</v>
      </c>
    </row>
    <row r="71" spans="1:11" x14ac:dyDescent="0.2">
      <c r="A71" t="s">
        <v>168</v>
      </c>
      <c r="B71" t="s">
        <v>164</v>
      </c>
      <c r="C71" t="s">
        <v>74</v>
      </c>
      <c r="D71">
        <v>2408</v>
      </c>
      <c r="E71">
        <v>39050000</v>
      </c>
      <c r="F71">
        <v>22570000</v>
      </c>
      <c r="G71">
        <f>F71/E71</f>
        <v>0.57797695262483995</v>
      </c>
      <c r="H71">
        <v>2097</v>
      </c>
      <c r="I71">
        <v>32720000</v>
      </c>
      <c r="J71">
        <v>19380000</v>
      </c>
      <c r="K71">
        <f>J71/I71</f>
        <v>0.59229828850855748</v>
      </c>
    </row>
    <row r="72" spans="1:11" x14ac:dyDescent="0.2">
      <c r="A72" t="s">
        <v>169</v>
      </c>
      <c r="B72" t="s">
        <v>170</v>
      </c>
      <c r="C72" t="s">
        <v>75</v>
      </c>
      <c r="D72">
        <v>3439</v>
      </c>
      <c r="E72">
        <v>26030000</v>
      </c>
      <c r="F72">
        <v>2780000</v>
      </c>
      <c r="G72">
        <f>F72/E72</f>
        <v>0.10679984633115636</v>
      </c>
      <c r="H72">
        <v>3254</v>
      </c>
      <c r="I72">
        <v>18460000</v>
      </c>
      <c r="J72">
        <v>2075000</v>
      </c>
      <c r="K72">
        <f>J72/I72</f>
        <v>0.11240520043336945</v>
      </c>
    </row>
    <row r="73" spans="1:11" x14ac:dyDescent="0.2">
      <c r="A73" t="s">
        <v>171</v>
      </c>
      <c r="B73" t="s">
        <v>170</v>
      </c>
      <c r="C73" t="s">
        <v>76</v>
      </c>
      <c r="D73">
        <v>4948</v>
      </c>
      <c r="E73">
        <v>60530000</v>
      </c>
      <c r="F73">
        <v>12070000</v>
      </c>
      <c r="G73">
        <f>F73/E73</f>
        <v>0.19940525359325953</v>
      </c>
      <c r="H73">
        <v>3994</v>
      </c>
      <c r="I73">
        <v>58570000</v>
      </c>
      <c r="J73">
        <v>11650000</v>
      </c>
      <c r="K73">
        <f>J73/I73</f>
        <v>0.19890729042171759</v>
      </c>
    </row>
    <row r="74" spans="1:11" x14ac:dyDescent="0.2">
      <c r="A74" t="s">
        <v>172</v>
      </c>
      <c r="B74" t="s">
        <v>170</v>
      </c>
      <c r="C74" t="s">
        <v>77</v>
      </c>
      <c r="D74">
        <v>3023</v>
      </c>
      <c r="E74">
        <v>41430000</v>
      </c>
      <c r="F74">
        <v>7360000</v>
      </c>
      <c r="G74">
        <f>F74/E74</f>
        <v>0.17764904658460054</v>
      </c>
      <c r="H74">
        <v>3207</v>
      </c>
      <c r="I74">
        <v>59840000</v>
      </c>
      <c r="J74">
        <v>10980000</v>
      </c>
      <c r="K74">
        <f>J74/I74</f>
        <v>0.18348930481283424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5d8cd0-17f0-4fb3-8fcc-a69c3e458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E48CCD4B469345808EA5F27A77BE68" ma:contentTypeVersion="6" ma:contentTypeDescription="Create a new document." ma:contentTypeScope="" ma:versionID="7f4a8599268f3743f1d35dae47c22bed">
  <xsd:schema xmlns:xsd="http://www.w3.org/2001/XMLSchema" xmlns:xs="http://www.w3.org/2001/XMLSchema" xmlns:p="http://schemas.microsoft.com/office/2006/metadata/properties" xmlns:ns3="ab5d8cd0-17f0-4fb3-8fcc-a69c3e458556" targetNamespace="http://schemas.microsoft.com/office/2006/metadata/properties" ma:root="true" ma:fieldsID="c2f9cc700cac7ab2b2b2b3cfe0bf473a" ns3:_="">
    <xsd:import namespace="ab5d8cd0-17f0-4fb3-8fcc-a69c3e45855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d8cd0-17f0-4fb3-8fcc-a69c3e45855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A1557B-725F-4C6A-AAE2-16F9E62DC108}">
  <ds:schemaRefs>
    <ds:schemaRef ds:uri="http://schemas.microsoft.com/office/infopath/2007/PartnerControls"/>
    <ds:schemaRef ds:uri="http://www.w3.org/XML/1998/namespace"/>
    <ds:schemaRef ds:uri="ab5d8cd0-17f0-4fb3-8fcc-a69c3e458556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0CFEE0F-2B47-4DBB-B56F-1CAEF8212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d8cd0-17f0-4fb3-8fcc-a69c3e458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51196A-852E-4FF6-B0F8-B4B619B37B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Spencer</dc:creator>
  <cp:lastModifiedBy>Abigail Wendland</cp:lastModifiedBy>
  <dcterms:created xsi:type="dcterms:W3CDTF">2026-03-20T00:59:00Z</dcterms:created>
  <dcterms:modified xsi:type="dcterms:W3CDTF">2026-04-25T22:47:49Z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0x01010050E48CCD4B469345808EA5F27A77BE68</vt:lpwstr>
  </property>
</Properties>
</file>