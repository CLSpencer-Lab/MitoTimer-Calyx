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gailwendland/Documents/MicroPub/"/>
    </mc:Choice>
  </mc:AlternateContent>
  <xr:revisionPtr revIDLastSave="0" documentId="8_{D89F5AFC-189D-7D4B-949E-30E418DB0B72}" xr6:coauthVersionLast="47" xr6:coauthVersionMax="47" xr10:uidLastSave="{00000000-0000-0000-0000-000000000000}"/>
  <bookViews>
    <workbookView xWindow="0" yWindow="2020" windowWidth="28800" windowHeight="15980" xr2:uid="{001578C0-8ECB-BA46-8078-5BF9690218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G9" i="1"/>
  <c r="K30" i="1"/>
  <c r="K29" i="1"/>
  <c r="K73" i="1"/>
  <c r="K74" i="1"/>
  <c r="K72" i="1"/>
  <c r="K71" i="1"/>
  <c r="K70" i="1"/>
  <c r="G74" i="1"/>
  <c r="G73" i="1"/>
  <c r="G72" i="1"/>
  <c r="G71" i="1"/>
  <c r="G3" i="1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2" i="1"/>
</calcChain>
</file>

<file path=xl/sharedStrings.xml><?xml version="1.0" encoding="utf-8"?>
<sst xmlns="http://schemas.openxmlformats.org/spreadsheetml/2006/main" count="240" uniqueCount="175">
  <si>
    <t>Fly_ID</t>
  </si>
  <si>
    <t>Summary</t>
  </si>
  <si>
    <t>Code</t>
  </si>
  <si>
    <t>Left_ROI_Area</t>
  </si>
  <si>
    <t>Left_Green_IntDen</t>
  </si>
  <si>
    <t>Left_Red_IntDen</t>
  </si>
  <si>
    <t>Left_RedGreen_Ratio</t>
  </si>
  <si>
    <t>Right_ROI_Area</t>
  </si>
  <si>
    <t>Right_Green_IntDen</t>
  </si>
  <si>
    <t>Right_Red_IntDen</t>
  </si>
  <si>
    <t>Right_RedGreen_Ratio</t>
  </si>
  <si>
    <t>nSyb1_Experiment-1405-Split Scenes-08-Airyscan Processing-11</t>
  </si>
  <si>
    <t>nSyb_Young</t>
  </si>
  <si>
    <t>N1</t>
  </si>
  <si>
    <t>nSyb2_Experiment-1405-Split Scenes-07-Airyscan Processing-05</t>
  </si>
  <si>
    <t>N2</t>
  </si>
  <si>
    <t>nSyb3_Experiment-1405-Split Scenes-06-Airyscan Processing-04</t>
  </si>
  <si>
    <t>N3</t>
  </si>
  <si>
    <t>nSyb4_Experiment-1405-Split Scenes-05-Airyscan Processing-14</t>
  </si>
  <si>
    <t>N4</t>
  </si>
  <si>
    <t>nSyb5_Experiment-1405-Split Scenes-04-Airyscan Processing-03</t>
  </si>
  <si>
    <t>N5</t>
  </si>
  <si>
    <t>nSyb6_Experiment-1405-Split Scenes-03-Airyscan Processing-02</t>
  </si>
  <si>
    <t>N6</t>
  </si>
  <si>
    <t>nSyb7_Experiment-1405-Split Scenes-02-Airyscan Processing-01</t>
  </si>
  <si>
    <t>N7</t>
  </si>
  <si>
    <t>nSyb1_15to20 Mito F 251031 Processed</t>
  </si>
  <si>
    <t>nSyb_Middle</t>
  </si>
  <si>
    <t>N8</t>
  </si>
  <si>
    <t>nSyb2_15to20 Mito F  251031-Airyscan Processing-02</t>
  </si>
  <si>
    <t>N9</t>
  </si>
  <si>
    <t>nSyb3_15to20 Mito F  251031-Airyscan Processing-04</t>
  </si>
  <si>
    <t>N10</t>
  </si>
  <si>
    <t>nSyb4_15to20 Mito F  251031-Airyscan Processing-11</t>
  </si>
  <si>
    <t>N11</t>
  </si>
  <si>
    <t>nSyb5_15to20 Mito F  251031-Airyscan Processing-10</t>
  </si>
  <si>
    <t>N12</t>
  </si>
  <si>
    <t>nSyb6_15to20 Mito F  251031-Airyscan Processing-09</t>
  </si>
  <si>
    <t>N13</t>
  </si>
  <si>
    <t>nSyb7_15to20 Mito F  251031-Airyscan Processing-05</t>
  </si>
  <si>
    <t>N14</t>
  </si>
  <si>
    <t>nSyb8_15to20 Mito F  251031-Airyscan Processing-07</t>
  </si>
  <si>
    <t>N15</t>
  </si>
  <si>
    <t>nSyb9_15to20 Mito F  251031-Airyscan Processing-08</t>
  </si>
  <si>
    <t>N16</t>
  </si>
  <si>
    <t>nSyb10_15to20 Mito F  251031-Airyscan Processing-14</t>
  </si>
  <si>
    <t>N17</t>
  </si>
  <si>
    <t>nSyb1_49to50d F 111125-Airyscan Processing-01</t>
  </si>
  <si>
    <t>nSyb_Old</t>
  </si>
  <si>
    <t>N18</t>
  </si>
  <si>
    <t>nSyb2_49to50d F 111125-Airyscan Processing-02</t>
  </si>
  <si>
    <t>N19</t>
  </si>
  <si>
    <t>nSyb3_49to50d F 111125-Airyscan Processing-03</t>
  </si>
  <si>
    <t>N20</t>
  </si>
  <si>
    <t>nSyb4_49to50d F 111125-Airyscan Processing-03-Airyscan Processing-04</t>
  </si>
  <si>
    <t>N21</t>
  </si>
  <si>
    <t>nSyb5_49to50d F 111125-Airyscan Processing-05</t>
  </si>
  <si>
    <t>N22</t>
  </si>
  <si>
    <t>nSyb6_49to50d F 111125-Airyscan Processing-06</t>
  </si>
  <si>
    <t>N23</t>
  </si>
  <si>
    <t>nSyb7_49to50d F 111125-Airyscan Processing-07</t>
  </si>
  <si>
    <t>N24</t>
  </si>
  <si>
    <t>nSyb8_49to50d F 111125-Airyscan Processing-08</t>
  </si>
  <si>
    <t>N25</t>
  </si>
  <si>
    <t>nSyb9_49to50d F 111125-Airyscan Processing-10</t>
  </si>
  <si>
    <t>N26</t>
  </si>
  <si>
    <t>2 nSyb F Mito Control 10to15d processed</t>
  </si>
  <si>
    <t>nSyb_NegativeControl_10to15</t>
  </si>
  <si>
    <t>N27</t>
  </si>
  <si>
    <t>4 nSyb F Mito Control 10to15d processed</t>
  </si>
  <si>
    <t>N28</t>
  </si>
  <si>
    <t>6 nSyb F Mito Control 10to15d processed</t>
  </si>
  <si>
    <t>N29</t>
  </si>
  <si>
    <t>1n_Syb_f_d15_d18_neg_control_Experiment-2809_AW_AW_18mar2026-Airyscan Processing-01</t>
  </si>
  <si>
    <t>nSyb_NegativeControl_15to18</t>
  </si>
  <si>
    <t>N30</t>
  </si>
  <si>
    <t>2n_Syb_f_d15_d18_neg_control_Experiment-2809_AW_AW_18mar2026-Airyscan Processing-02</t>
  </si>
  <si>
    <t>N31</t>
  </si>
  <si>
    <t>?</t>
  </si>
  <si>
    <t>1 repeat nSyb F Mito Paraquat 10to15d raw-Airyscan Processing-07</t>
  </si>
  <si>
    <t>nSyb_PositiveControl_10to15</t>
  </si>
  <si>
    <t>N32</t>
  </si>
  <si>
    <t>3 nSyb Mito Paraquat 10to15d raw-Airyscan Processing-02</t>
  </si>
  <si>
    <t>N33</t>
  </si>
  <si>
    <t>5 nSyb F Mito Paraquat 10to15d raw-Airyscan Processing-04</t>
  </si>
  <si>
    <t>N34</t>
  </si>
  <si>
    <t>1n_Syb_f_d15_d18_pos_control_paraquat_Experiment-2809_AW_LL_18mar2026-Airyscan Processing-06</t>
  </si>
  <si>
    <t>nSyb_PositiveControl_15to18</t>
  </si>
  <si>
    <t>N35</t>
  </si>
  <si>
    <t>2n_Syb_f_d15_d18_pos_control_paraquat_Experiment-2809_AW_LL_18mar2026-Airyscan Processing-07</t>
  </si>
  <si>
    <t>N36</t>
  </si>
  <si>
    <t>Repo4_Experiment-1402-Split Scenes-10-Airyscan Processing-13</t>
  </si>
  <si>
    <t>Repo_Young</t>
  </si>
  <si>
    <t>G1</t>
  </si>
  <si>
    <t>Repo5_Experiment-1402-Split Scenes-09-Airyscan Processing-12</t>
  </si>
  <si>
    <t>G2</t>
  </si>
  <si>
    <t>Repo6_07 to 09 Experiment-1400 nRepo F d1to5 10-24-2025-Scene-3-P7-Airyscan Processing-01</t>
  </si>
  <si>
    <t>G3</t>
  </si>
  <si>
    <t>Repo7_F d1to5 10-24-2025-Scene-2-P8-Airyscan Processing-02</t>
  </si>
  <si>
    <t>G4</t>
  </si>
  <si>
    <t>Repo8_F d1to5 10-24-2025-Scene-1-P9-Airyscan Processing-03</t>
  </si>
  <si>
    <t>G5</t>
  </si>
  <si>
    <t>Repo1_15to20 Mito F 251031 3 channels-Airyscan Processing-13</t>
  </si>
  <si>
    <t>Repo_Middle</t>
  </si>
  <si>
    <t>G6</t>
  </si>
  <si>
    <t>Repo2_15to20 Mito F  251106-Airyscan Processing-06</t>
  </si>
  <si>
    <t>G7</t>
  </si>
  <si>
    <t>Repo3_15to20 Mito F  251106-Airyscan Processing-07</t>
  </si>
  <si>
    <t>G8</t>
  </si>
  <si>
    <t>Repo4_15to20 Mito F  251106-Airyscan Processing-08</t>
  </si>
  <si>
    <t>G9</t>
  </si>
  <si>
    <t>Repo5_15to20 Mito F  251106-Airyscan Processing-10</t>
  </si>
  <si>
    <t>G10</t>
  </si>
  <si>
    <t>Repo6_15to20 Mito F  251106-Airyscan Processing-12</t>
  </si>
  <si>
    <t>G11</t>
  </si>
  <si>
    <t>Repo7_15to20 Mito F  251106-Airyscan Processing-09</t>
  </si>
  <si>
    <t>G12</t>
  </si>
  <si>
    <t>Repo8_15to20 Mito F  251106-Airyscan Processing-13</t>
  </si>
  <si>
    <t>G13</t>
  </si>
  <si>
    <t>Repo9_15to20 Mito F  251106-Airyscan Processing-11</t>
  </si>
  <si>
    <t>G14</t>
  </si>
  <si>
    <t>Repo1_49to50d F 111125-Airyscan Processing-11</t>
  </si>
  <si>
    <t>Repo_Old</t>
  </si>
  <si>
    <t>G15</t>
  </si>
  <si>
    <t>Repo2_49to50d F 111125-Airyscan Processing-12</t>
  </si>
  <si>
    <t>G16</t>
  </si>
  <si>
    <t>Repo3_49to50d F 111125-Airyscan Processing-13</t>
  </si>
  <si>
    <t>G17</t>
  </si>
  <si>
    <t>Repo4_49to50d F 111125-Airyscan Processing-14</t>
  </si>
  <si>
    <t>G18</t>
  </si>
  <si>
    <t>Repo5_49to50d F 111125-Airyscan Processing-15</t>
  </si>
  <si>
    <t>G19</t>
  </si>
  <si>
    <t>Repo6_49to50d F 111125-Airyscan Processing-16</t>
  </si>
  <si>
    <t>G20</t>
  </si>
  <si>
    <t>Repo7_49to50d F 111125-Airyscan Processing-17</t>
  </si>
  <si>
    <t>G21</t>
  </si>
  <si>
    <t>Repo8_49to50d F 111125-Airyscan Processing-18</t>
  </si>
  <si>
    <t>G22</t>
  </si>
  <si>
    <t>Repo9_49to50d F 111125-Airyscan Processing-22</t>
  </si>
  <si>
    <t>G23</t>
  </si>
  <si>
    <t>right one hard to find</t>
  </si>
  <si>
    <t>1 Repo F Mito Control 10to15d processed</t>
  </si>
  <si>
    <t>Repo_NegativeControl_10to15</t>
  </si>
  <si>
    <t>G24</t>
  </si>
  <si>
    <t>3 Repo F Mito Control 10to15d processed</t>
  </si>
  <si>
    <t>G25</t>
  </si>
  <si>
    <t>4 Repo F Mito Control 10to15d processed</t>
  </si>
  <si>
    <t>G26</t>
  </si>
  <si>
    <t>1REPO_f_d15_d18_negative_control_Experiment-2809_AW_LL-Airyscan Processing-08</t>
  </si>
  <si>
    <t>Repo_NegativeControl_15to18</t>
  </si>
  <si>
    <t>G27</t>
  </si>
  <si>
    <t>2REPO_f_d15_d18_negative_control_Experiment-2809_AW_LL-Airyscan Processing-09</t>
  </si>
  <si>
    <t>G28</t>
  </si>
  <si>
    <t>3REPO_f_d15_d18_negative_control_Experiment-2809_AW_LL-Airyscan Processing-10</t>
  </si>
  <si>
    <t>G29</t>
  </si>
  <si>
    <t>2 Repo Mito Paraquat 10to15d raw-Airyscan Processing-01</t>
  </si>
  <si>
    <t>Repo_PositiveControl_10to15</t>
  </si>
  <si>
    <t>G30</t>
  </si>
  <si>
    <t>4 Repo F Mito Paraquat 10to15d raw-Airyscan Processing-03</t>
  </si>
  <si>
    <t>G31</t>
  </si>
  <si>
    <t>6 Left Repo F Mito Paraquat 10to15d raw-Airyscan Processing-06</t>
  </si>
  <si>
    <t>G32</t>
  </si>
  <si>
    <t xml:space="preserve">Right NA </t>
  </si>
  <si>
    <t>6 Right Repo F Mito Paraquat 10to15d processed</t>
  </si>
  <si>
    <t>G33</t>
  </si>
  <si>
    <t xml:space="preserve">Left NA </t>
  </si>
  <si>
    <t>7 Repo F Mito Paraquat 10to15d processed</t>
  </si>
  <si>
    <t>G34</t>
  </si>
  <si>
    <t>1REPO_f_d15_d18_Paraquat_pos_control_Experiment-2809_AW_AW_18mar2026-Airyscan Processing-02-Airyscan Processing-03</t>
  </si>
  <si>
    <t>Repo_PositiveControl_15to18</t>
  </si>
  <si>
    <t>G35</t>
  </si>
  <si>
    <t>2REPO_f_d15_d18_Paraquat_pos_control_Experiment-2809_AW_LL-Airyscan Processing-04</t>
  </si>
  <si>
    <t>G36</t>
  </si>
  <si>
    <t>3REPO_f_d15_d18_Paraquat_pos_control_Experiment-2809_AW_LL-Airyscan Processing-05</t>
  </si>
  <si>
    <t>G37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</si>
</sst>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D0BA"/>
      <color rgb="FFAEC3CE"/>
      <color rgb="FFF67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A7DD-B948-A14F-9BBA-85B81BDBB867}">
  <dimension ref="A1:L74"/>
  <sheetViews>
    <sheetView tabSelected="1" zoomScale="92" zoomScaleNormal="80" workbookViewId="0">
      <selection activeCell="N19" sqref="N19"/>
    </sheetView>
  </sheetViews>
  <sheetFormatPr baseColWidth="10" defaultColWidth="11" defaultRowHeight="16" x14ac:dyDescent="0.2"/>
  <cols>
    <col min="1" max="1" width="9.1640625" customWidth="1"/>
    <col min="2" max="2" width="10.33203125" customWidth="1"/>
    <col min="4" max="4" width="13.83203125" customWidth="1"/>
    <col min="5" max="5" width="16.83203125" customWidth="1"/>
    <col min="6" max="6" width="16.5" customWidth="1"/>
    <col min="7" max="7" width="19.83203125" customWidth="1"/>
    <col min="8" max="8" width="15" customWidth="1"/>
    <col min="9" max="9" width="18.1640625" customWidth="1"/>
    <col min="10" max="10" width="17" customWidth="1"/>
    <col min="11" max="11" width="2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2" t="s">
        <v>11</v>
      </c>
      <c r="B2" s="2" t="s">
        <v>12</v>
      </c>
      <c r="C2" t="s">
        <v>13</v>
      </c>
      <c r="D2">
        <v>1231</v>
      </c>
      <c r="E2">
        <v>25610000</v>
      </c>
      <c r="F2">
        <v>16050000</v>
      </c>
      <c r="G2" s="1">
        <f>F2/E2</f>
        <v>0.62670831706364705</v>
      </c>
      <c r="H2">
        <v>1200</v>
      </c>
      <c r="I2">
        <v>23880000</v>
      </c>
      <c r="J2">
        <v>15000000</v>
      </c>
      <c r="K2" s="1">
        <f>J2/I2</f>
        <v>0.62814070351758799</v>
      </c>
    </row>
    <row r="3" spans="1:11" x14ac:dyDescent="0.2">
      <c r="A3" s="2" t="s">
        <v>14</v>
      </c>
      <c r="B3" s="2" t="s">
        <v>12</v>
      </c>
      <c r="C3" t="s">
        <v>15</v>
      </c>
      <c r="D3">
        <v>1568</v>
      </c>
      <c r="E3">
        <v>26420000</v>
      </c>
      <c r="F3">
        <v>18700000</v>
      </c>
      <c r="G3" s="1">
        <f t="shared" ref="G3:G66" si="0">F3/E3</f>
        <v>0.70779712339137013</v>
      </c>
      <c r="H3">
        <v>1311</v>
      </c>
      <c r="I3">
        <v>25030000</v>
      </c>
      <c r="J3">
        <v>20310000</v>
      </c>
      <c r="K3" s="1">
        <f t="shared" ref="K3:K66" si="1">J3/I3</f>
        <v>0.81142628845385534</v>
      </c>
    </row>
    <row r="4" spans="1:11" x14ac:dyDescent="0.2">
      <c r="A4" s="2" t="s">
        <v>16</v>
      </c>
      <c r="B4" s="2" t="s">
        <v>12</v>
      </c>
      <c r="C4" t="s">
        <v>17</v>
      </c>
      <c r="D4">
        <v>1150</v>
      </c>
      <c r="E4">
        <v>14630000</v>
      </c>
      <c r="F4">
        <v>3321000</v>
      </c>
      <c r="G4" s="1">
        <f t="shared" si="0"/>
        <v>0.22699931647300067</v>
      </c>
      <c r="H4">
        <v>82280</v>
      </c>
      <c r="I4">
        <v>866600000</v>
      </c>
      <c r="J4">
        <v>118900000</v>
      </c>
      <c r="K4" s="1">
        <f t="shared" si="1"/>
        <v>0.13720286175859681</v>
      </c>
    </row>
    <row r="5" spans="1:11" x14ac:dyDescent="0.2">
      <c r="A5" s="2" t="s">
        <v>18</v>
      </c>
      <c r="B5" s="2" t="s">
        <v>12</v>
      </c>
      <c r="C5" t="s">
        <v>19</v>
      </c>
      <c r="D5">
        <v>860.9</v>
      </c>
      <c r="E5">
        <v>7604000</v>
      </c>
      <c r="F5">
        <v>3155000</v>
      </c>
      <c r="G5" s="1">
        <f t="shared" si="0"/>
        <v>0.41491320357706468</v>
      </c>
      <c r="H5">
        <v>82280</v>
      </c>
      <c r="I5">
        <v>507500000</v>
      </c>
      <c r="J5">
        <v>112800000</v>
      </c>
      <c r="K5" s="1">
        <f t="shared" si="1"/>
        <v>0.22226600985221676</v>
      </c>
    </row>
    <row r="6" spans="1:11" x14ac:dyDescent="0.2">
      <c r="A6" s="2" t="s">
        <v>20</v>
      </c>
      <c r="B6" s="2" t="s">
        <v>12</v>
      </c>
      <c r="C6" t="s">
        <v>21</v>
      </c>
      <c r="D6">
        <v>1464</v>
      </c>
      <c r="E6">
        <v>27170000</v>
      </c>
      <c r="F6">
        <v>19410000</v>
      </c>
      <c r="G6" s="1">
        <f t="shared" si="0"/>
        <v>0.71439087228560916</v>
      </c>
      <c r="H6">
        <v>1083</v>
      </c>
      <c r="I6">
        <v>20440000</v>
      </c>
      <c r="J6">
        <v>16560000</v>
      </c>
      <c r="K6" s="1">
        <f t="shared" si="1"/>
        <v>0.81017612524461835</v>
      </c>
    </row>
    <row r="7" spans="1:11" x14ac:dyDescent="0.2">
      <c r="A7" s="2" t="s">
        <v>22</v>
      </c>
      <c r="B7" s="2" t="s">
        <v>12</v>
      </c>
      <c r="C7" t="s">
        <v>23</v>
      </c>
      <c r="D7">
        <v>1211</v>
      </c>
      <c r="E7">
        <v>13520000</v>
      </c>
      <c r="F7">
        <v>4997000</v>
      </c>
      <c r="G7" s="1">
        <f t="shared" si="0"/>
        <v>0.36960059171597631</v>
      </c>
      <c r="H7">
        <v>1147</v>
      </c>
      <c r="I7">
        <v>15680000</v>
      </c>
      <c r="J7">
        <v>6311000</v>
      </c>
      <c r="K7" s="1">
        <f t="shared" si="1"/>
        <v>0.40248724489795917</v>
      </c>
    </row>
    <row r="8" spans="1:11" x14ac:dyDescent="0.2">
      <c r="A8" s="2" t="s">
        <v>24</v>
      </c>
      <c r="B8" s="2" t="s">
        <v>12</v>
      </c>
      <c r="C8" t="s">
        <v>25</v>
      </c>
      <c r="D8">
        <v>1183</v>
      </c>
      <c r="E8">
        <v>13870000</v>
      </c>
      <c r="F8">
        <v>8012000</v>
      </c>
      <c r="G8" s="1">
        <f t="shared" si="0"/>
        <v>0.5776496034607066</v>
      </c>
      <c r="H8">
        <v>906.8</v>
      </c>
      <c r="I8">
        <v>19010000</v>
      </c>
      <c r="J8">
        <v>12790000</v>
      </c>
      <c r="K8" s="1">
        <f t="shared" si="1"/>
        <v>0.67280378748027359</v>
      </c>
    </row>
    <row r="9" spans="1:11" x14ac:dyDescent="0.2">
      <c r="A9" s="2" t="s">
        <v>26</v>
      </c>
      <c r="B9" s="2" t="s">
        <v>27</v>
      </c>
      <c r="C9" t="s">
        <v>28</v>
      </c>
      <c r="D9">
        <v>1256</v>
      </c>
      <c r="E9">
        <v>8669000</v>
      </c>
      <c r="F9">
        <v>13370000</v>
      </c>
      <c r="G9" s="1">
        <f t="shared" si="0"/>
        <v>1.5422770792478948</v>
      </c>
      <c r="H9">
        <v>1325</v>
      </c>
      <c r="I9">
        <v>22020000</v>
      </c>
      <c r="J9">
        <v>32110000</v>
      </c>
      <c r="K9" s="1">
        <f t="shared" si="1"/>
        <v>1.4582198001816531</v>
      </c>
    </row>
    <row r="10" spans="1:11" x14ac:dyDescent="0.2">
      <c r="A10" s="2" t="s">
        <v>29</v>
      </c>
      <c r="B10" s="2" t="s">
        <v>27</v>
      </c>
      <c r="C10" t="s">
        <v>30</v>
      </c>
      <c r="D10">
        <v>1583</v>
      </c>
      <c r="E10">
        <v>16920000</v>
      </c>
      <c r="F10">
        <v>29060000</v>
      </c>
      <c r="G10" s="1">
        <f t="shared" si="0"/>
        <v>1.7174940898345155</v>
      </c>
      <c r="H10">
        <v>1535</v>
      </c>
      <c r="I10">
        <v>18120000</v>
      </c>
      <c r="J10">
        <v>32970000</v>
      </c>
      <c r="K10" s="1">
        <f t="shared" si="1"/>
        <v>1.8195364238410596</v>
      </c>
    </row>
    <row r="11" spans="1:11" x14ac:dyDescent="0.2">
      <c r="A11" s="2" t="s">
        <v>31</v>
      </c>
      <c r="B11" s="2" t="s">
        <v>27</v>
      </c>
      <c r="C11" t="s">
        <v>32</v>
      </c>
      <c r="D11">
        <v>1612</v>
      </c>
      <c r="E11">
        <v>25020000</v>
      </c>
      <c r="F11">
        <v>47840000</v>
      </c>
      <c r="G11" s="1">
        <f t="shared" si="0"/>
        <v>1.9120703437250199</v>
      </c>
      <c r="H11">
        <v>1541</v>
      </c>
      <c r="I11">
        <v>19800000</v>
      </c>
      <c r="J11">
        <v>29240000</v>
      </c>
      <c r="K11" s="1">
        <f t="shared" si="1"/>
        <v>1.4767676767676767</v>
      </c>
    </row>
    <row r="12" spans="1:11" x14ac:dyDescent="0.2">
      <c r="A12" s="2" t="s">
        <v>33</v>
      </c>
      <c r="B12" s="2" t="s">
        <v>27</v>
      </c>
      <c r="C12" t="s">
        <v>34</v>
      </c>
      <c r="D12">
        <v>764.9</v>
      </c>
      <c r="E12">
        <v>20750000</v>
      </c>
      <c r="F12">
        <v>47540000</v>
      </c>
      <c r="G12" s="1">
        <f t="shared" si="0"/>
        <v>2.2910843373493974</v>
      </c>
      <c r="H12">
        <v>745.4</v>
      </c>
      <c r="I12">
        <v>14900000</v>
      </c>
      <c r="J12">
        <v>29810000</v>
      </c>
      <c r="K12" s="1">
        <f t="shared" si="1"/>
        <v>2.0006711409395974</v>
      </c>
    </row>
    <row r="13" spans="1:11" x14ac:dyDescent="0.2">
      <c r="A13" s="2" t="s">
        <v>35</v>
      </c>
      <c r="B13" s="2" t="s">
        <v>27</v>
      </c>
      <c r="C13" t="s">
        <v>36</v>
      </c>
      <c r="D13">
        <v>1041</v>
      </c>
      <c r="E13">
        <v>36160000</v>
      </c>
      <c r="F13">
        <v>51170000</v>
      </c>
      <c r="G13" s="1">
        <f t="shared" si="0"/>
        <v>1.4150995575221239</v>
      </c>
      <c r="H13">
        <v>1172</v>
      </c>
      <c r="I13">
        <v>26340000</v>
      </c>
      <c r="J13">
        <v>47970000</v>
      </c>
      <c r="K13" s="1">
        <f t="shared" si="1"/>
        <v>1.8211845102505695</v>
      </c>
    </row>
    <row r="14" spans="1:11" x14ac:dyDescent="0.2">
      <c r="A14" s="2" t="s">
        <v>37</v>
      </c>
      <c r="B14" s="2" t="s">
        <v>27</v>
      </c>
      <c r="C14" t="s">
        <v>38</v>
      </c>
      <c r="D14">
        <v>1118</v>
      </c>
      <c r="E14">
        <v>32360000</v>
      </c>
      <c r="F14">
        <v>96810000</v>
      </c>
      <c r="G14" s="1">
        <f t="shared" si="0"/>
        <v>2.9916563658838071</v>
      </c>
      <c r="H14">
        <v>607.29999999999995</v>
      </c>
      <c r="I14">
        <v>12020000</v>
      </c>
      <c r="J14">
        <v>34620000</v>
      </c>
      <c r="K14" s="1">
        <f t="shared" si="1"/>
        <v>2.8801996672212979</v>
      </c>
    </row>
    <row r="15" spans="1:11" x14ac:dyDescent="0.2">
      <c r="A15" s="2" t="s">
        <v>39</v>
      </c>
      <c r="B15" s="2" t="s">
        <v>27</v>
      </c>
      <c r="C15" t="s">
        <v>40</v>
      </c>
      <c r="D15">
        <v>815.5</v>
      </c>
      <c r="E15">
        <v>13980000</v>
      </c>
      <c r="F15">
        <v>21260000</v>
      </c>
      <c r="G15" s="1">
        <f t="shared" si="0"/>
        <v>1.5207439198855508</v>
      </c>
      <c r="H15">
        <v>815.5</v>
      </c>
      <c r="I15">
        <v>10430000</v>
      </c>
      <c r="J15">
        <v>15300000</v>
      </c>
      <c r="K15" s="1">
        <f t="shared" si="1"/>
        <v>1.4669223394055608</v>
      </c>
    </row>
    <row r="16" spans="1:11" x14ac:dyDescent="0.2">
      <c r="A16" s="2" t="s">
        <v>41</v>
      </c>
      <c r="B16" s="2" t="s">
        <v>27</v>
      </c>
      <c r="C16" t="s">
        <v>42</v>
      </c>
      <c r="D16">
        <v>1296</v>
      </c>
      <c r="E16">
        <v>31810000</v>
      </c>
      <c r="F16">
        <v>79350000</v>
      </c>
      <c r="G16" s="1">
        <f t="shared" si="0"/>
        <v>2.4944985853505188</v>
      </c>
      <c r="H16">
        <v>1278</v>
      </c>
      <c r="I16">
        <v>27210000</v>
      </c>
      <c r="J16">
        <v>68440000</v>
      </c>
      <c r="K16" s="1">
        <f t="shared" si="1"/>
        <v>2.5152517456817347</v>
      </c>
    </row>
    <row r="17" spans="1:12" x14ac:dyDescent="0.2">
      <c r="A17" s="2" t="s">
        <v>43</v>
      </c>
      <c r="B17" s="2" t="s">
        <v>27</v>
      </c>
      <c r="C17" t="s">
        <v>44</v>
      </c>
      <c r="D17">
        <v>1365</v>
      </c>
      <c r="E17">
        <v>11290000</v>
      </c>
      <c r="F17">
        <v>10410000</v>
      </c>
      <c r="G17" s="1">
        <f t="shared" si="0"/>
        <v>0.92205491585473875</v>
      </c>
      <c r="H17">
        <v>1256</v>
      </c>
      <c r="I17">
        <v>11610000</v>
      </c>
      <c r="J17">
        <v>14220000</v>
      </c>
      <c r="K17" s="1">
        <f t="shared" si="1"/>
        <v>1.2248062015503876</v>
      </c>
    </row>
    <row r="18" spans="1:12" x14ac:dyDescent="0.2">
      <c r="A18" s="2" t="s">
        <v>45</v>
      </c>
      <c r="B18" s="2" t="s">
        <v>27</v>
      </c>
      <c r="C18" t="s">
        <v>46</v>
      </c>
      <c r="D18">
        <v>1405</v>
      </c>
      <c r="E18">
        <v>32750000</v>
      </c>
      <c r="F18">
        <v>61980000</v>
      </c>
      <c r="G18" s="1">
        <f t="shared" si="0"/>
        <v>1.8925190839694657</v>
      </c>
      <c r="H18">
        <v>1566</v>
      </c>
      <c r="I18">
        <v>31200000</v>
      </c>
      <c r="J18">
        <v>56630000</v>
      </c>
      <c r="K18" s="1">
        <f t="shared" si="1"/>
        <v>1.8150641025641026</v>
      </c>
    </row>
    <row r="19" spans="1:12" x14ac:dyDescent="0.2">
      <c r="A19" s="2" t="s">
        <v>47</v>
      </c>
      <c r="B19" s="2" t="s">
        <v>48</v>
      </c>
      <c r="C19" t="s">
        <v>49</v>
      </c>
      <c r="D19">
        <v>1103</v>
      </c>
      <c r="E19">
        <v>10430000</v>
      </c>
      <c r="F19">
        <v>1953000</v>
      </c>
      <c r="G19" s="1">
        <f t="shared" si="0"/>
        <v>0.187248322147651</v>
      </c>
      <c r="H19">
        <v>1278</v>
      </c>
      <c r="I19">
        <v>12050000</v>
      </c>
      <c r="J19">
        <v>2394000</v>
      </c>
      <c r="K19" s="1">
        <f t="shared" si="1"/>
        <v>0.19867219917012449</v>
      </c>
    </row>
    <row r="20" spans="1:12" x14ac:dyDescent="0.2">
      <c r="A20" s="2" t="s">
        <v>50</v>
      </c>
      <c r="B20" s="2" t="s">
        <v>48</v>
      </c>
      <c r="C20" t="s">
        <v>51</v>
      </c>
      <c r="D20">
        <v>1844</v>
      </c>
      <c r="E20">
        <v>22950000</v>
      </c>
      <c r="F20">
        <v>6941000</v>
      </c>
      <c r="G20" s="1">
        <f t="shared" si="0"/>
        <v>0.30244008714596948</v>
      </c>
      <c r="H20">
        <v>1610</v>
      </c>
      <c r="I20">
        <v>17760000</v>
      </c>
      <c r="J20">
        <v>5711000</v>
      </c>
      <c r="K20" s="1">
        <f t="shared" si="1"/>
        <v>0.32156531531531529</v>
      </c>
    </row>
    <row r="21" spans="1:12" x14ac:dyDescent="0.2">
      <c r="A21" s="2" t="s">
        <v>52</v>
      </c>
      <c r="B21" s="2" t="s">
        <v>48</v>
      </c>
      <c r="C21" t="s">
        <v>53</v>
      </c>
      <c r="D21">
        <v>1849</v>
      </c>
      <c r="E21">
        <v>29340000</v>
      </c>
      <c r="F21">
        <v>11930000</v>
      </c>
      <c r="G21" s="1">
        <f t="shared" si="0"/>
        <v>0.40661213360599863</v>
      </c>
      <c r="H21">
        <v>1902</v>
      </c>
      <c r="I21">
        <v>24570000</v>
      </c>
      <c r="J21">
        <v>12190000</v>
      </c>
      <c r="K21" s="1">
        <f t="shared" si="1"/>
        <v>0.49613349613349611</v>
      </c>
    </row>
    <row r="22" spans="1:12" x14ac:dyDescent="0.2">
      <c r="A22" s="2" t="s">
        <v>54</v>
      </c>
      <c r="B22" s="2" t="s">
        <v>48</v>
      </c>
      <c r="C22" t="s">
        <v>55</v>
      </c>
      <c r="D22">
        <v>800.6</v>
      </c>
      <c r="E22">
        <v>7985000</v>
      </c>
      <c r="F22">
        <v>5999000</v>
      </c>
      <c r="G22" s="1">
        <f t="shared" si="0"/>
        <v>0.75128365685660614</v>
      </c>
      <c r="H22">
        <v>1697</v>
      </c>
      <c r="I22">
        <v>19720000</v>
      </c>
      <c r="J22">
        <v>13180000</v>
      </c>
      <c r="K22" s="1">
        <f t="shared" si="1"/>
        <v>0.66835699797160242</v>
      </c>
    </row>
    <row r="23" spans="1:12" x14ac:dyDescent="0.2">
      <c r="A23" s="2" t="s">
        <v>56</v>
      </c>
      <c r="B23" s="2" t="s">
        <v>48</v>
      </c>
      <c r="C23" t="s">
        <v>57</v>
      </c>
      <c r="D23">
        <v>1095</v>
      </c>
      <c r="E23">
        <v>20850000</v>
      </c>
      <c r="F23">
        <v>20550000</v>
      </c>
      <c r="G23" s="1">
        <f t="shared" si="0"/>
        <v>0.98561151079136688</v>
      </c>
      <c r="H23">
        <v>1349</v>
      </c>
      <c r="I23">
        <v>24690000</v>
      </c>
      <c r="J23">
        <v>11770000</v>
      </c>
      <c r="K23" s="1">
        <f t="shared" si="1"/>
        <v>0.47671121911705144</v>
      </c>
    </row>
    <row r="24" spans="1:12" x14ac:dyDescent="0.2">
      <c r="A24" s="2" t="s">
        <v>58</v>
      </c>
      <c r="B24" s="2" t="s">
        <v>48</v>
      </c>
      <c r="C24" t="s">
        <v>59</v>
      </c>
      <c r="D24">
        <v>979.4</v>
      </c>
      <c r="E24">
        <v>20730000</v>
      </c>
      <c r="F24">
        <v>19830000</v>
      </c>
      <c r="G24" s="1">
        <f t="shared" si="0"/>
        <v>0.95658465991316932</v>
      </c>
      <c r="H24">
        <v>1169</v>
      </c>
      <c r="I24">
        <v>22210000</v>
      </c>
      <c r="J24">
        <v>20630000</v>
      </c>
      <c r="K24" s="1">
        <f t="shared" si="1"/>
        <v>0.92886087348041424</v>
      </c>
    </row>
    <row r="25" spans="1:12" x14ac:dyDescent="0.2">
      <c r="A25" s="2" t="s">
        <v>60</v>
      </c>
      <c r="B25" s="2" t="s">
        <v>48</v>
      </c>
      <c r="C25" t="s">
        <v>61</v>
      </c>
      <c r="D25">
        <v>682.5</v>
      </c>
      <c r="E25">
        <v>20000000</v>
      </c>
      <c r="F25">
        <v>12560000</v>
      </c>
      <c r="G25" s="1">
        <f t="shared" si="0"/>
        <v>0.628</v>
      </c>
      <c r="H25">
        <v>619.1</v>
      </c>
      <c r="I25">
        <v>10410000</v>
      </c>
      <c r="J25">
        <v>7859000</v>
      </c>
      <c r="K25" s="1">
        <f t="shared" si="1"/>
        <v>0.75494716618635926</v>
      </c>
    </row>
    <row r="26" spans="1:12" x14ac:dyDescent="0.2">
      <c r="A26" s="2" t="s">
        <v>62</v>
      </c>
      <c r="B26" s="2" t="s">
        <v>48</v>
      </c>
      <c r="C26" t="s">
        <v>63</v>
      </c>
      <c r="D26">
        <v>1112</v>
      </c>
      <c r="E26">
        <v>17210000</v>
      </c>
      <c r="F26">
        <v>25430000</v>
      </c>
      <c r="G26" s="1">
        <f t="shared" si="0"/>
        <v>1.4776292852992445</v>
      </c>
      <c r="H26">
        <v>1119</v>
      </c>
      <c r="I26">
        <v>24630000</v>
      </c>
      <c r="J26">
        <v>36660000</v>
      </c>
      <c r="K26" s="1">
        <f t="shared" si="1"/>
        <v>1.4884287454323994</v>
      </c>
    </row>
    <row r="27" spans="1:12" x14ac:dyDescent="0.2">
      <c r="A27" s="2" t="s">
        <v>64</v>
      </c>
      <c r="B27" s="2" t="s">
        <v>48</v>
      </c>
      <c r="C27" t="s">
        <v>65</v>
      </c>
      <c r="D27">
        <v>1517</v>
      </c>
      <c r="E27">
        <v>14430000</v>
      </c>
      <c r="F27">
        <v>7177000</v>
      </c>
      <c r="G27" s="1">
        <f t="shared" si="0"/>
        <v>0.49736659736659738</v>
      </c>
      <c r="H27">
        <v>1533</v>
      </c>
      <c r="I27">
        <v>19430000</v>
      </c>
      <c r="J27">
        <v>8053000</v>
      </c>
      <c r="K27" s="1">
        <f t="shared" si="1"/>
        <v>0.41446217189912504</v>
      </c>
    </row>
    <row r="28" spans="1:12" x14ac:dyDescent="0.2">
      <c r="A28" s="2" t="s">
        <v>66</v>
      </c>
      <c r="B28" s="2" t="s">
        <v>67</v>
      </c>
      <c r="C28" t="s">
        <v>68</v>
      </c>
      <c r="D28">
        <v>1274</v>
      </c>
      <c r="E28">
        <v>15070000</v>
      </c>
      <c r="F28">
        <v>14710000</v>
      </c>
      <c r="G28" s="1">
        <f t="shared" si="0"/>
        <v>0.97611147976111479</v>
      </c>
      <c r="H28">
        <v>1027</v>
      </c>
      <c r="I28">
        <v>16290000</v>
      </c>
      <c r="J28">
        <v>16540000</v>
      </c>
      <c r="K28" s="1">
        <f t="shared" si="1"/>
        <v>1.0153468385512585</v>
      </c>
    </row>
    <row r="29" spans="1:12" x14ac:dyDescent="0.2">
      <c r="A29" s="2" t="s">
        <v>69</v>
      </c>
      <c r="B29" s="2" t="s">
        <v>67</v>
      </c>
      <c r="C29" t="s">
        <v>70</v>
      </c>
      <c r="D29">
        <v>1326</v>
      </c>
      <c r="E29">
        <v>28420000</v>
      </c>
      <c r="F29">
        <v>33170000</v>
      </c>
      <c r="G29" s="1">
        <f t="shared" si="0"/>
        <v>1.1671358198451796</v>
      </c>
      <c r="H29">
        <v>1304</v>
      </c>
      <c r="I29">
        <v>27640000</v>
      </c>
      <c r="J29">
        <v>35990000</v>
      </c>
      <c r="K29" s="1">
        <f>J29/I29</f>
        <v>1.3020984081041969</v>
      </c>
    </row>
    <row r="30" spans="1:12" x14ac:dyDescent="0.2">
      <c r="A30" s="2" t="s">
        <v>71</v>
      </c>
      <c r="B30" s="2" t="s">
        <v>67</v>
      </c>
      <c r="C30" t="s">
        <v>72</v>
      </c>
      <c r="D30">
        <v>935</v>
      </c>
      <c r="E30">
        <v>11910000</v>
      </c>
      <c r="F30">
        <v>6834000</v>
      </c>
      <c r="G30" s="1">
        <f t="shared" si="0"/>
        <v>0.57380352644836274</v>
      </c>
      <c r="H30">
        <v>1061</v>
      </c>
      <c r="I30">
        <v>12550000</v>
      </c>
      <c r="J30">
        <v>6858000</v>
      </c>
      <c r="K30" s="1">
        <f>J30/I30</f>
        <v>0.54645418326693229</v>
      </c>
    </row>
    <row r="31" spans="1:12" x14ac:dyDescent="0.2">
      <c r="A31" s="2" t="s">
        <v>73</v>
      </c>
      <c r="B31" s="2" t="s">
        <v>74</v>
      </c>
      <c r="C31" t="s">
        <v>75</v>
      </c>
      <c r="D31">
        <v>9079</v>
      </c>
      <c r="E31">
        <v>60100000</v>
      </c>
      <c r="F31">
        <v>125700000</v>
      </c>
      <c r="G31" s="1">
        <f t="shared" si="0"/>
        <v>2.0915141430948418</v>
      </c>
      <c r="H31">
        <v>796.1</v>
      </c>
      <c r="I31">
        <v>52330000</v>
      </c>
      <c r="J31">
        <v>98660000</v>
      </c>
      <c r="K31" s="1">
        <f t="shared" si="1"/>
        <v>1.885343015478693</v>
      </c>
    </row>
    <row r="32" spans="1:12" x14ac:dyDescent="0.2">
      <c r="A32" s="2" t="s">
        <v>76</v>
      </c>
      <c r="B32" s="2" t="s">
        <v>74</v>
      </c>
      <c r="C32" t="s">
        <v>77</v>
      </c>
      <c r="D32">
        <v>1186</v>
      </c>
      <c r="E32">
        <v>37580000</v>
      </c>
      <c r="F32">
        <v>81340000</v>
      </c>
      <c r="G32" s="1">
        <f t="shared" si="0"/>
        <v>2.1644491750931345</v>
      </c>
      <c r="H32">
        <v>1411</v>
      </c>
      <c r="I32">
        <v>35040000</v>
      </c>
      <c r="J32">
        <v>59680000</v>
      </c>
      <c r="K32" s="1">
        <f t="shared" si="1"/>
        <v>1.7031963470319635</v>
      </c>
      <c r="L32" t="s">
        <v>78</v>
      </c>
    </row>
    <row r="33" spans="1:11" x14ac:dyDescent="0.2">
      <c r="A33" s="2" t="s">
        <v>79</v>
      </c>
      <c r="B33" s="2" t="s">
        <v>80</v>
      </c>
      <c r="C33" t="s">
        <v>81</v>
      </c>
      <c r="D33">
        <v>1092</v>
      </c>
      <c r="E33">
        <v>19020000</v>
      </c>
      <c r="F33">
        <v>25110000</v>
      </c>
      <c r="G33" s="1">
        <f t="shared" si="0"/>
        <v>1.3201892744479495</v>
      </c>
      <c r="H33">
        <v>1135</v>
      </c>
      <c r="I33">
        <v>15030000</v>
      </c>
      <c r="J33">
        <v>17580000</v>
      </c>
      <c r="K33" s="1">
        <f t="shared" si="1"/>
        <v>1.1696606786427146</v>
      </c>
    </row>
    <row r="34" spans="1:11" x14ac:dyDescent="0.2">
      <c r="A34" s="2" t="s">
        <v>82</v>
      </c>
      <c r="B34" s="2" t="s">
        <v>80</v>
      </c>
      <c r="C34" t="s">
        <v>83</v>
      </c>
      <c r="D34">
        <v>1395</v>
      </c>
      <c r="E34">
        <v>35780000</v>
      </c>
      <c r="F34">
        <v>69490000</v>
      </c>
      <c r="G34" s="1">
        <f t="shared" si="0"/>
        <v>1.9421464505310229</v>
      </c>
      <c r="H34">
        <v>1240</v>
      </c>
      <c r="I34">
        <v>22910000</v>
      </c>
      <c r="J34">
        <v>37070000</v>
      </c>
      <c r="K34" s="1">
        <f t="shared" si="1"/>
        <v>1.6180707114797033</v>
      </c>
    </row>
    <row r="35" spans="1:11" x14ac:dyDescent="0.2">
      <c r="A35" s="2" t="s">
        <v>84</v>
      </c>
      <c r="B35" s="2" t="s">
        <v>80</v>
      </c>
      <c r="C35" t="s">
        <v>85</v>
      </c>
      <c r="D35">
        <v>1008</v>
      </c>
      <c r="E35">
        <v>16670000</v>
      </c>
      <c r="F35">
        <v>27970000</v>
      </c>
      <c r="G35" s="1">
        <f t="shared" si="0"/>
        <v>1.6778644271145771</v>
      </c>
      <c r="H35">
        <v>1047</v>
      </c>
      <c r="I35">
        <v>19960000</v>
      </c>
      <c r="J35">
        <v>33710000</v>
      </c>
      <c r="K35" s="1">
        <f t="shared" si="1"/>
        <v>1.6888777555110221</v>
      </c>
    </row>
    <row r="36" spans="1:11" x14ac:dyDescent="0.2">
      <c r="A36" s="2" t="s">
        <v>86</v>
      </c>
      <c r="B36" s="2" t="s">
        <v>87</v>
      </c>
      <c r="C36" t="s">
        <v>88</v>
      </c>
      <c r="D36">
        <v>1282</v>
      </c>
      <c r="E36">
        <v>52270000</v>
      </c>
      <c r="F36">
        <v>98270000</v>
      </c>
      <c r="G36" s="1">
        <f t="shared" si="0"/>
        <v>1.8800459154390663</v>
      </c>
      <c r="H36">
        <v>981.3</v>
      </c>
      <c r="I36">
        <v>47280000</v>
      </c>
      <c r="J36">
        <v>87810000</v>
      </c>
      <c r="K36" s="1">
        <f t="shared" si="1"/>
        <v>1.8572335025380711</v>
      </c>
    </row>
    <row r="37" spans="1:11" x14ac:dyDescent="0.2">
      <c r="A37" s="2" t="s">
        <v>89</v>
      </c>
      <c r="B37" s="2" t="s">
        <v>87</v>
      </c>
      <c r="C37" t="s">
        <v>90</v>
      </c>
      <c r="D37">
        <v>1470</v>
      </c>
      <c r="E37">
        <v>12510000</v>
      </c>
      <c r="F37">
        <v>13540000</v>
      </c>
      <c r="G37" s="1">
        <f t="shared" si="0"/>
        <v>1.0823341326938449</v>
      </c>
      <c r="H37">
        <v>1468</v>
      </c>
      <c r="I37">
        <v>17450000</v>
      </c>
      <c r="J37">
        <v>23350000</v>
      </c>
      <c r="K37" s="1">
        <f t="shared" si="1"/>
        <v>1.33810888252149</v>
      </c>
    </row>
    <row r="38" spans="1:11" x14ac:dyDescent="0.2">
      <c r="A38" s="2" t="s">
        <v>91</v>
      </c>
      <c r="B38" s="2" t="s">
        <v>92</v>
      </c>
      <c r="C38" t="s">
        <v>93</v>
      </c>
      <c r="D38">
        <v>3665</v>
      </c>
      <c r="E38">
        <v>68790000</v>
      </c>
      <c r="F38">
        <v>10790000</v>
      </c>
      <c r="G38" s="1">
        <f t="shared" si="0"/>
        <v>0.15685419392353539</v>
      </c>
      <c r="H38">
        <v>2141</v>
      </c>
      <c r="I38">
        <v>40980000</v>
      </c>
      <c r="J38">
        <v>7757000</v>
      </c>
      <c r="K38" s="1">
        <f t="shared" si="1"/>
        <v>0.18928745729624208</v>
      </c>
    </row>
    <row r="39" spans="1:11" x14ac:dyDescent="0.2">
      <c r="A39" s="2" t="s">
        <v>94</v>
      </c>
      <c r="B39" s="2" t="s">
        <v>92</v>
      </c>
      <c r="C39" t="s">
        <v>95</v>
      </c>
      <c r="D39">
        <v>3575</v>
      </c>
      <c r="E39">
        <v>48330000</v>
      </c>
      <c r="F39">
        <v>10400000</v>
      </c>
      <c r="G39" s="1">
        <f t="shared" si="0"/>
        <v>0.21518725429339955</v>
      </c>
      <c r="H39">
        <v>5528</v>
      </c>
      <c r="I39">
        <v>37970000</v>
      </c>
      <c r="J39">
        <v>8245000</v>
      </c>
      <c r="K39" s="1">
        <f t="shared" si="1"/>
        <v>0.21714511456412958</v>
      </c>
    </row>
    <row r="40" spans="1:11" x14ac:dyDescent="0.2">
      <c r="A40" s="2" t="s">
        <v>96</v>
      </c>
      <c r="B40" s="2" t="s">
        <v>92</v>
      </c>
      <c r="C40" t="s">
        <v>97</v>
      </c>
      <c r="D40">
        <v>3125</v>
      </c>
      <c r="E40">
        <v>66500000</v>
      </c>
      <c r="F40">
        <v>14230000</v>
      </c>
      <c r="G40" s="1">
        <f t="shared" si="0"/>
        <v>0.21398496240601503</v>
      </c>
      <c r="H40">
        <v>4433</v>
      </c>
      <c r="I40">
        <v>191700000</v>
      </c>
      <c r="J40">
        <v>31890000</v>
      </c>
      <c r="K40" s="1">
        <f t="shared" si="1"/>
        <v>0.16635367762128325</v>
      </c>
    </row>
    <row r="41" spans="1:11" x14ac:dyDescent="0.2">
      <c r="A41" s="2" t="s">
        <v>98</v>
      </c>
      <c r="B41" s="2" t="s">
        <v>92</v>
      </c>
      <c r="C41" t="s">
        <v>99</v>
      </c>
      <c r="D41">
        <v>4331</v>
      </c>
      <c r="E41">
        <v>66330000</v>
      </c>
      <c r="F41">
        <v>9266000</v>
      </c>
      <c r="G41" s="1">
        <f t="shared" si="0"/>
        <v>0.13969546208352179</v>
      </c>
      <c r="H41">
        <v>3000</v>
      </c>
      <c r="I41">
        <v>59340000</v>
      </c>
      <c r="J41">
        <v>9308000</v>
      </c>
      <c r="K41" s="1">
        <f t="shared" si="1"/>
        <v>0.15685877991236941</v>
      </c>
    </row>
    <row r="42" spans="1:11" x14ac:dyDescent="0.2">
      <c r="A42" s="2" t="s">
        <v>100</v>
      </c>
      <c r="B42" s="2" t="s">
        <v>92</v>
      </c>
      <c r="C42" t="s">
        <v>101</v>
      </c>
      <c r="D42">
        <v>4520</v>
      </c>
      <c r="E42">
        <v>66460000</v>
      </c>
      <c r="F42">
        <v>24600000</v>
      </c>
      <c r="G42" s="1">
        <f t="shared" si="0"/>
        <v>0.37014745711706287</v>
      </c>
      <c r="H42">
        <v>4567</v>
      </c>
      <c r="I42">
        <v>76090000</v>
      </c>
      <c r="J42">
        <v>21600000</v>
      </c>
      <c r="K42" s="1">
        <f t="shared" si="1"/>
        <v>0.28387435931134181</v>
      </c>
    </row>
    <row r="43" spans="1:11" x14ac:dyDescent="0.2">
      <c r="A43" s="2" t="s">
        <v>102</v>
      </c>
      <c r="B43" s="2" t="s">
        <v>103</v>
      </c>
      <c r="C43" t="s">
        <v>104</v>
      </c>
      <c r="D43">
        <v>2636</v>
      </c>
      <c r="E43">
        <v>28650000</v>
      </c>
      <c r="F43">
        <v>4961000</v>
      </c>
      <c r="G43" s="1">
        <f t="shared" si="0"/>
        <v>0.17315881326352531</v>
      </c>
      <c r="H43">
        <v>5260</v>
      </c>
      <c r="I43">
        <v>76110000</v>
      </c>
      <c r="J43">
        <v>16180000</v>
      </c>
      <c r="K43" s="1">
        <f t="shared" si="1"/>
        <v>0.21258704506635134</v>
      </c>
    </row>
    <row r="44" spans="1:11" x14ac:dyDescent="0.2">
      <c r="A44" s="2" t="s">
        <v>105</v>
      </c>
      <c r="B44" s="2" t="s">
        <v>103</v>
      </c>
      <c r="C44" t="s">
        <v>106</v>
      </c>
      <c r="D44">
        <v>5040</v>
      </c>
      <c r="E44">
        <v>61450000</v>
      </c>
      <c r="F44">
        <v>11460000</v>
      </c>
      <c r="G44" s="1">
        <f t="shared" si="0"/>
        <v>0.18649308380797397</v>
      </c>
      <c r="H44">
        <v>3144</v>
      </c>
      <c r="I44">
        <v>62300000</v>
      </c>
      <c r="J44">
        <v>16280000</v>
      </c>
      <c r="K44" s="1">
        <f t="shared" si="1"/>
        <v>0.26131621187800963</v>
      </c>
    </row>
    <row r="45" spans="1:11" x14ac:dyDescent="0.2">
      <c r="A45" s="2" t="s">
        <v>107</v>
      </c>
      <c r="B45" s="2" t="s">
        <v>103</v>
      </c>
      <c r="C45" t="s">
        <v>108</v>
      </c>
      <c r="D45">
        <v>5769</v>
      </c>
      <c r="E45">
        <v>93830000</v>
      </c>
      <c r="F45">
        <v>9913000</v>
      </c>
      <c r="G45" s="1">
        <f t="shared" si="0"/>
        <v>0.1056485132686774</v>
      </c>
      <c r="H45">
        <v>4588</v>
      </c>
      <c r="I45">
        <v>52020000</v>
      </c>
      <c r="J45">
        <v>6271000</v>
      </c>
      <c r="K45" s="1">
        <f t="shared" si="1"/>
        <v>0.12054978854286813</v>
      </c>
    </row>
    <row r="46" spans="1:11" x14ac:dyDescent="0.2">
      <c r="A46" s="2" t="s">
        <v>109</v>
      </c>
      <c r="B46" s="2" t="s">
        <v>103</v>
      </c>
      <c r="C46" t="s">
        <v>110</v>
      </c>
      <c r="D46">
        <v>4435</v>
      </c>
      <c r="E46">
        <v>54420000</v>
      </c>
      <c r="F46">
        <v>7126000</v>
      </c>
      <c r="G46" s="1">
        <f t="shared" si="0"/>
        <v>0.13094450569643512</v>
      </c>
      <c r="H46">
        <v>3765</v>
      </c>
      <c r="I46">
        <v>51820000</v>
      </c>
      <c r="J46">
        <v>5723000</v>
      </c>
      <c r="K46" s="1">
        <f t="shared" si="1"/>
        <v>0.11043998456194519</v>
      </c>
    </row>
    <row r="47" spans="1:11" x14ac:dyDescent="0.2">
      <c r="A47" s="2" t="s">
        <v>111</v>
      </c>
      <c r="B47" s="2" t="s">
        <v>103</v>
      </c>
      <c r="C47" t="s">
        <v>112</v>
      </c>
      <c r="D47">
        <v>4780</v>
      </c>
      <c r="E47">
        <v>52620000</v>
      </c>
      <c r="F47">
        <v>5918000</v>
      </c>
      <c r="G47" s="1">
        <f t="shared" si="0"/>
        <v>0.11246674268339035</v>
      </c>
      <c r="H47">
        <v>4049</v>
      </c>
      <c r="I47">
        <v>43540000</v>
      </c>
      <c r="J47">
        <v>4613000</v>
      </c>
      <c r="K47" s="1">
        <f t="shared" si="1"/>
        <v>0.10594855305466237</v>
      </c>
    </row>
    <row r="48" spans="1:11" x14ac:dyDescent="0.2">
      <c r="A48" s="2" t="s">
        <v>113</v>
      </c>
      <c r="B48" s="2" t="s">
        <v>103</v>
      </c>
      <c r="C48" t="s">
        <v>114</v>
      </c>
      <c r="D48">
        <v>4219</v>
      </c>
      <c r="E48">
        <v>39930000</v>
      </c>
      <c r="F48">
        <v>4469000</v>
      </c>
      <c r="G48" s="1">
        <f t="shared" si="0"/>
        <v>0.11192086150763837</v>
      </c>
      <c r="H48">
        <v>3618</v>
      </c>
      <c r="I48">
        <v>34880000</v>
      </c>
      <c r="J48">
        <v>3725000</v>
      </c>
      <c r="K48" s="1">
        <f t="shared" si="1"/>
        <v>0.1067947247706422</v>
      </c>
    </row>
    <row r="49" spans="1:12" x14ac:dyDescent="0.2">
      <c r="A49" s="2" t="s">
        <v>115</v>
      </c>
      <c r="B49" s="2" t="s">
        <v>103</v>
      </c>
      <c r="C49" t="s">
        <v>116</v>
      </c>
      <c r="D49">
        <v>4360</v>
      </c>
      <c r="E49">
        <v>33240000</v>
      </c>
      <c r="F49">
        <v>2927000</v>
      </c>
      <c r="G49" s="1">
        <f t="shared" si="0"/>
        <v>8.8056558363417567E-2</v>
      </c>
      <c r="H49">
        <v>4583</v>
      </c>
      <c r="I49">
        <v>32510000</v>
      </c>
      <c r="J49">
        <v>3417000</v>
      </c>
      <c r="K49" s="1">
        <f t="shared" si="1"/>
        <v>0.10510612119347892</v>
      </c>
    </row>
    <row r="50" spans="1:12" x14ac:dyDescent="0.2">
      <c r="A50" s="2" t="s">
        <v>117</v>
      </c>
      <c r="B50" s="2" t="s">
        <v>103</v>
      </c>
      <c r="C50" t="s">
        <v>118</v>
      </c>
      <c r="D50">
        <v>5611</v>
      </c>
      <c r="E50">
        <v>62070000</v>
      </c>
      <c r="F50">
        <v>10620000</v>
      </c>
      <c r="G50" s="1">
        <f t="shared" si="0"/>
        <v>0.17109714838086032</v>
      </c>
      <c r="H50">
        <v>4573</v>
      </c>
      <c r="I50">
        <v>98710000</v>
      </c>
      <c r="J50">
        <v>15580000</v>
      </c>
      <c r="K50" s="1">
        <f t="shared" si="1"/>
        <v>0.15783608550298855</v>
      </c>
    </row>
    <row r="51" spans="1:12" x14ac:dyDescent="0.2">
      <c r="A51" s="2" t="s">
        <v>119</v>
      </c>
      <c r="B51" s="2" t="s">
        <v>103</v>
      </c>
      <c r="C51" t="s">
        <v>120</v>
      </c>
      <c r="D51">
        <v>5894</v>
      </c>
      <c r="E51">
        <v>67900000</v>
      </c>
      <c r="F51">
        <v>6701000</v>
      </c>
      <c r="G51" s="1">
        <f t="shared" si="0"/>
        <v>9.8689248895434456E-2</v>
      </c>
      <c r="H51">
        <v>5771</v>
      </c>
      <c r="I51">
        <v>53840000</v>
      </c>
      <c r="J51">
        <v>5964000</v>
      </c>
      <c r="K51" s="1">
        <f t="shared" si="1"/>
        <v>0.11077265973254086</v>
      </c>
    </row>
    <row r="52" spans="1:12" x14ac:dyDescent="0.2">
      <c r="A52" s="2" t="s">
        <v>121</v>
      </c>
      <c r="B52" s="2" t="s">
        <v>122</v>
      </c>
      <c r="C52" t="s">
        <v>123</v>
      </c>
      <c r="D52">
        <v>3791</v>
      </c>
      <c r="E52">
        <v>52560000</v>
      </c>
      <c r="F52">
        <v>8395000</v>
      </c>
      <c r="G52" s="1">
        <f t="shared" si="0"/>
        <v>0.15972222222222221</v>
      </c>
      <c r="H52">
        <v>3888</v>
      </c>
      <c r="I52">
        <v>50880000</v>
      </c>
      <c r="J52">
        <v>7902000</v>
      </c>
      <c r="K52" s="1">
        <f t="shared" si="1"/>
        <v>0.15530660377358491</v>
      </c>
    </row>
    <row r="53" spans="1:12" x14ac:dyDescent="0.2">
      <c r="A53" s="2" t="s">
        <v>124</v>
      </c>
      <c r="B53" s="2" t="s">
        <v>122</v>
      </c>
      <c r="C53" t="s">
        <v>125</v>
      </c>
      <c r="D53">
        <v>4413</v>
      </c>
      <c r="E53">
        <v>52050000</v>
      </c>
      <c r="F53">
        <v>5435000</v>
      </c>
      <c r="G53" s="1">
        <f t="shared" si="0"/>
        <v>0.10441882804995196</v>
      </c>
      <c r="H53">
        <v>4306</v>
      </c>
      <c r="I53">
        <v>51110000</v>
      </c>
      <c r="J53">
        <v>6025000</v>
      </c>
      <c r="K53" s="1">
        <f t="shared" si="1"/>
        <v>0.11788299745646645</v>
      </c>
    </row>
    <row r="54" spans="1:12" x14ac:dyDescent="0.2">
      <c r="A54" s="2" t="s">
        <v>126</v>
      </c>
      <c r="B54" s="2" t="s">
        <v>122</v>
      </c>
      <c r="C54" t="s">
        <v>127</v>
      </c>
      <c r="D54">
        <v>5853</v>
      </c>
      <c r="E54">
        <v>90520000</v>
      </c>
      <c r="F54">
        <v>15040000</v>
      </c>
      <c r="G54" s="1">
        <f t="shared" si="0"/>
        <v>0.16615112682280159</v>
      </c>
      <c r="H54">
        <v>3302</v>
      </c>
      <c r="I54">
        <v>43160000</v>
      </c>
      <c r="J54">
        <v>9579000</v>
      </c>
      <c r="K54" s="1">
        <f t="shared" si="1"/>
        <v>0.22194161260426321</v>
      </c>
    </row>
    <row r="55" spans="1:12" x14ac:dyDescent="0.2">
      <c r="A55" s="2" t="s">
        <v>128</v>
      </c>
      <c r="B55" s="2" t="s">
        <v>122</v>
      </c>
      <c r="C55" t="s">
        <v>129</v>
      </c>
      <c r="D55">
        <v>5388</v>
      </c>
      <c r="E55">
        <v>102600000</v>
      </c>
      <c r="F55">
        <v>16900000</v>
      </c>
      <c r="G55" s="1">
        <f t="shared" si="0"/>
        <v>0.16471734892787523</v>
      </c>
      <c r="H55">
        <v>6309</v>
      </c>
      <c r="I55">
        <v>89660000</v>
      </c>
      <c r="J55">
        <v>13690000</v>
      </c>
      <c r="K55" s="1">
        <f t="shared" si="1"/>
        <v>0.15268793218826679</v>
      </c>
    </row>
    <row r="56" spans="1:12" x14ac:dyDescent="0.2">
      <c r="A56" s="2" t="s">
        <v>130</v>
      </c>
      <c r="B56" s="2" t="s">
        <v>122</v>
      </c>
      <c r="C56" t="s">
        <v>131</v>
      </c>
      <c r="D56">
        <v>6513</v>
      </c>
      <c r="E56">
        <v>71300000</v>
      </c>
      <c r="F56">
        <v>27260000</v>
      </c>
      <c r="G56" s="1">
        <f t="shared" si="0"/>
        <v>0.38232819074333801</v>
      </c>
      <c r="H56">
        <v>4595</v>
      </c>
      <c r="I56">
        <v>78640000</v>
      </c>
      <c r="J56">
        <v>23620000</v>
      </c>
      <c r="K56" s="1">
        <f t="shared" si="1"/>
        <v>0.30035605289928791</v>
      </c>
    </row>
    <row r="57" spans="1:12" x14ac:dyDescent="0.2">
      <c r="A57" s="2" t="s">
        <v>132</v>
      </c>
      <c r="B57" s="2" t="s">
        <v>122</v>
      </c>
      <c r="C57" t="s">
        <v>133</v>
      </c>
      <c r="D57">
        <v>4363</v>
      </c>
      <c r="E57">
        <v>110000000</v>
      </c>
      <c r="F57">
        <v>5951000</v>
      </c>
      <c r="G57" s="1">
        <f t="shared" si="0"/>
        <v>5.4100000000000002E-2</v>
      </c>
      <c r="H57">
        <v>2671</v>
      </c>
      <c r="I57">
        <v>104600000</v>
      </c>
      <c r="J57">
        <v>9832000</v>
      </c>
      <c r="K57" s="1">
        <f t="shared" si="1"/>
        <v>9.3996175908221791E-2</v>
      </c>
    </row>
    <row r="58" spans="1:12" x14ac:dyDescent="0.2">
      <c r="A58" s="2" t="s">
        <v>134</v>
      </c>
      <c r="B58" s="2" t="s">
        <v>122</v>
      </c>
      <c r="C58" t="s">
        <v>135</v>
      </c>
      <c r="D58">
        <v>3442</v>
      </c>
      <c r="E58">
        <v>47670000</v>
      </c>
      <c r="F58">
        <v>5403000</v>
      </c>
      <c r="G58" s="1">
        <f t="shared" si="0"/>
        <v>0.11334172435494022</v>
      </c>
      <c r="H58">
        <v>3793</v>
      </c>
      <c r="I58">
        <v>43810000</v>
      </c>
      <c r="J58">
        <v>4711000</v>
      </c>
      <c r="K58" s="1">
        <f t="shared" si="1"/>
        <v>0.10753252682036064</v>
      </c>
    </row>
    <row r="59" spans="1:12" x14ac:dyDescent="0.2">
      <c r="A59" s="2" t="s">
        <v>136</v>
      </c>
      <c r="B59" s="2" t="s">
        <v>122</v>
      </c>
      <c r="C59" t="s">
        <v>137</v>
      </c>
      <c r="D59">
        <v>3291</v>
      </c>
      <c r="E59">
        <v>52990000</v>
      </c>
      <c r="F59">
        <v>8686000</v>
      </c>
      <c r="G59" s="1">
        <f t="shared" si="0"/>
        <v>0.16391772032458954</v>
      </c>
      <c r="H59">
        <v>2873</v>
      </c>
      <c r="I59">
        <v>32170000</v>
      </c>
      <c r="J59">
        <v>5377000</v>
      </c>
      <c r="K59" s="1">
        <f t="shared" si="1"/>
        <v>0.16714330121230961</v>
      </c>
    </row>
    <row r="60" spans="1:12" x14ac:dyDescent="0.2">
      <c r="A60" s="2" t="s">
        <v>138</v>
      </c>
      <c r="B60" s="2" t="s">
        <v>122</v>
      </c>
      <c r="C60" t="s">
        <v>139</v>
      </c>
      <c r="D60">
        <v>5522</v>
      </c>
      <c r="E60">
        <v>90560000</v>
      </c>
      <c r="F60">
        <v>9248000</v>
      </c>
      <c r="G60" s="1">
        <f t="shared" si="0"/>
        <v>0.10212014134275618</v>
      </c>
      <c r="H60">
        <v>1618</v>
      </c>
      <c r="I60">
        <v>4747000</v>
      </c>
      <c r="J60">
        <v>300900</v>
      </c>
      <c r="K60" s="1">
        <f t="shared" si="1"/>
        <v>6.3387402570044243E-2</v>
      </c>
      <c r="L60" t="s">
        <v>140</v>
      </c>
    </row>
    <row r="61" spans="1:12" x14ac:dyDescent="0.2">
      <c r="A61" s="2" t="s">
        <v>141</v>
      </c>
      <c r="B61" s="2" t="s">
        <v>142</v>
      </c>
      <c r="C61" t="s">
        <v>143</v>
      </c>
      <c r="D61">
        <v>6126</v>
      </c>
      <c r="E61">
        <v>113000000</v>
      </c>
      <c r="F61">
        <v>7682000</v>
      </c>
      <c r="G61" s="1">
        <f t="shared" si="0"/>
        <v>6.7982300884955757E-2</v>
      </c>
      <c r="H61">
        <v>3929</v>
      </c>
      <c r="I61">
        <v>90390000</v>
      </c>
      <c r="J61">
        <v>5748000</v>
      </c>
      <c r="K61" s="1">
        <f t="shared" si="1"/>
        <v>6.3591105210753396E-2</v>
      </c>
    </row>
    <row r="62" spans="1:12" x14ac:dyDescent="0.2">
      <c r="A62" s="2" t="s">
        <v>144</v>
      </c>
      <c r="B62" s="2" t="s">
        <v>142</v>
      </c>
      <c r="C62" t="s">
        <v>145</v>
      </c>
      <c r="D62">
        <v>6296</v>
      </c>
      <c r="E62">
        <v>79190000</v>
      </c>
      <c r="F62">
        <v>13000000</v>
      </c>
      <c r="G62" s="1">
        <f t="shared" si="0"/>
        <v>0.16416214168455612</v>
      </c>
      <c r="H62">
        <v>5506</v>
      </c>
      <c r="I62">
        <v>63500000</v>
      </c>
      <c r="J62">
        <v>7919000</v>
      </c>
      <c r="K62" s="1">
        <f t="shared" si="1"/>
        <v>0.12470866141732284</v>
      </c>
    </row>
    <row r="63" spans="1:12" x14ac:dyDescent="0.2">
      <c r="A63" s="2" t="s">
        <v>146</v>
      </c>
      <c r="B63" s="2" t="s">
        <v>142</v>
      </c>
      <c r="C63" t="s">
        <v>147</v>
      </c>
      <c r="D63">
        <v>3066</v>
      </c>
      <c r="E63">
        <v>36630000</v>
      </c>
      <c r="F63">
        <v>5911000</v>
      </c>
      <c r="G63" s="1">
        <f t="shared" si="0"/>
        <v>0.16137046137046138</v>
      </c>
      <c r="H63">
        <v>3354</v>
      </c>
      <c r="I63">
        <v>40290000</v>
      </c>
      <c r="J63">
        <v>3703000</v>
      </c>
      <c r="K63" s="1">
        <f t="shared" si="1"/>
        <v>9.1908662199056843E-2</v>
      </c>
    </row>
    <row r="64" spans="1:12" x14ac:dyDescent="0.2">
      <c r="A64" s="2" t="s">
        <v>148</v>
      </c>
      <c r="B64" s="2" t="s">
        <v>149</v>
      </c>
      <c r="C64" t="s">
        <v>150</v>
      </c>
      <c r="D64">
        <v>3825</v>
      </c>
      <c r="E64">
        <v>51330000</v>
      </c>
      <c r="F64">
        <v>9823000</v>
      </c>
      <c r="G64" s="1">
        <f t="shared" si="0"/>
        <v>0.19136956945256187</v>
      </c>
      <c r="H64">
        <v>5778</v>
      </c>
      <c r="I64">
        <v>77960000</v>
      </c>
      <c r="J64">
        <v>9945000</v>
      </c>
      <c r="K64" s="1">
        <f t="shared" si="1"/>
        <v>0.12756541816316058</v>
      </c>
    </row>
    <row r="65" spans="1:11" x14ac:dyDescent="0.2">
      <c r="A65" s="2" t="s">
        <v>151</v>
      </c>
      <c r="B65" s="2" t="s">
        <v>149</v>
      </c>
      <c r="C65" t="s">
        <v>152</v>
      </c>
      <c r="D65">
        <v>7696</v>
      </c>
      <c r="E65">
        <v>28500000</v>
      </c>
      <c r="F65">
        <v>4384000</v>
      </c>
      <c r="G65" s="1">
        <f t="shared" si="0"/>
        <v>0.15382456140350878</v>
      </c>
      <c r="H65">
        <v>7365</v>
      </c>
      <c r="I65">
        <v>113200000</v>
      </c>
      <c r="J65">
        <v>26910000</v>
      </c>
      <c r="K65" s="1">
        <f t="shared" si="1"/>
        <v>0.23772084805653709</v>
      </c>
    </row>
    <row r="66" spans="1:11" x14ac:dyDescent="0.2">
      <c r="A66" s="2" t="s">
        <v>153</v>
      </c>
      <c r="B66" s="2" t="s">
        <v>149</v>
      </c>
      <c r="C66" t="s">
        <v>154</v>
      </c>
      <c r="D66">
        <v>6763</v>
      </c>
      <c r="E66">
        <v>74450000</v>
      </c>
      <c r="F66">
        <v>25570000</v>
      </c>
      <c r="G66" s="1">
        <f t="shared" si="0"/>
        <v>0.34345198119543319</v>
      </c>
      <c r="H66">
        <v>4642</v>
      </c>
      <c r="I66">
        <v>69550000</v>
      </c>
      <c r="J66">
        <v>22310000</v>
      </c>
      <c r="K66" s="1">
        <f t="shared" si="1"/>
        <v>0.32077641984184041</v>
      </c>
    </row>
    <row r="67" spans="1:11" x14ac:dyDescent="0.2">
      <c r="A67" s="2" t="s">
        <v>155</v>
      </c>
      <c r="B67" s="2" t="s">
        <v>156</v>
      </c>
      <c r="C67" t="s">
        <v>157</v>
      </c>
      <c r="D67">
        <v>3485</v>
      </c>
      <c r="E67">
        <v>40280000</v>
      </c>
      <c r="F67">
        <v>9920000</v>
      </c>
      <c r="G67" s="1">
        <f t="shared" ref="G67:G74" si="2">F67/E67</f>
        <v>0.24627606752730885</v>
      </c>
      <c r="H67">
        <v>3734</v>
      </c>
      <c r="I67">
        <v>50820000</v>
      </c>
      <c r="J67">
        <v>8273000</v>
      </c>
      <c r="K67" s="1">
        <f t="shared" ref="K67:K68" si="3">J67/I67</f>
        <v>0.16279024006296733</v>
      </c>
    </row>
    <row r="68" spans="1:11" x14ac:dyDescent="0.2">
      <c r="A68" s="2" t="s">
        <v>158</v>
      </c>
      <c r="B68" s="2" t="s">
        <v>156</v>
      </c>
      <c r="C68" t="s">
        <v>159</v>
      </c>
      <c r="D68">
        <v>3445</v>
      </c>
      <c r="E68">
        <v>32990000</v>
      </c>
      <c r="F68">
        <v>9522000</v>
      </c>
      <c r="G68" s="1">
        <f t="shared" si="2"/>
        <v>0.28863291906638378</v>
      </c>
      <c r="H68">
        <v>5607</v>
      </c>
      <c r="I68">
        <v>35460000</v>
      </c>
      <c r="J68">
        <v>5897000</v>
      </c>
      <c r="K68" s="1">
        <f t="shared" si="3"/>
        <v>0.16630005640157924</v>
      </c>
    </row>
    <row r="69" spans="1:11" x14ac:dyDescent="0.2">
      <c r="A69" s="2" t="s">
        <v>160</v>
      </c>
      <c r="B69" s="2" t="s">
        <v>156</v>
      </c>
      <c r="C69" t="s">
        <v>161</v>
      </c>
      <c r="D69">
        <v>3333</v>
      </c>
      <c r="E69">
        <v>24250000</v>
      </c>
      <c r="F69">
        <v>2898000</v>
      </c>
      <c r="G69" s="1">
        <f t="shared" si="2"/>
        <v>0.11950515463917526</v>
      </c>
      <c r="H69" t="s">
        <v>162</v>
      </c>
      <c r="I69" t="s">
        <v>162</v>
      </c>
      <c r="J69" t="s">
        <v>162</v>
      </c>
      <c r="K69" s="1" t="s">
        <v>162</v>
      </c>
    </row>
    <row r="70" spans="1:11" x14ac:dyDescent="0.2">
      <c r="A70" s="2" t="s">
        <v>163</v>
      </c>
      <c r="B70" s="2" t="s">
        <v>156</v>
      </c>
      <c r="C70" t="s">
        <v>164</v>
      </c>
      <c r="D70" t="s">
        <v>165</v>
      </c>
      <c r="E70" t="s">
        <v>165</v>
      </c>
      <c r="F70" t="s">
        <v>165</v>
      </c>
      <c r="G70" s="1" t="s">
        <v>165</v>
      </c>
      <c r="H70">
        <v>3829</v>
      </c>
      <c r="I70">
        <v>42040000</v>
      </c>
      <c r="J70">
        <v>6594000</v>
      </c>
      <c r="K70" s="1">
        <f t="shared" ref="K70:K73" si="4">J70/I70</f>
        <v>0.15685061845861084</v>
      </c>
    </row>
    <row r="71" spans="1:11" x14ac:dyDescent="0.2">
      <c r="A71" s="2" t="s">
        <v>166</v>
      </c>
      <c r="B71" s="2" t="s">
        <v>156</v>
      </c>
      <c r="C71" t="s">
        <v>167</v>
      </c>
      <c r="D71">
        <v>3465</v>
      </c>
      <c r="E71">
        <v>50050000</v>
      </c>
      <c r="F71">
        <v>27040000</v>
      </c>
      <c r="G71" s="1">
        <f t="shared" si="2"/>
        <v>0.54025974025974022</v>
      </c>
      <c r="H71">
        <v>1918</v>
      </c>
      <c r="I71">
        <v>31210000</v>
      </c>
      <c r="J71">
        <v>16840000</v>
      </c>
      <c r="K71" s="1">
        <f t="shared" si="4"/>
        <v>0.5395706504325537</v>
      </c>
    </row>
    <row r="72" spans="1:11" x14ac:dyDescent="0.2">
      <c r="A72" s="2" t="s">
        <v>168</v>
      </c>
      <c r="B72" s="2" t="s">
        <v>169</v>
      </c>
      <c r="C72" t="s">
        <v>170</v>
      </c>
      <c r="D72">
        <v>5907</v>
      </c>
      <c r="E72">
        <v>37910000</v>
      </c>
      <c r="F72">
        <v>3810000</v>
      </c>
      <c r="G72" s="1">
        <f t="shared" si="2"/>
        <v>0.10050118702189396</v>
      </c>
      <c r="H72">
        <v>4420</v>
      </c>
      <c r="I72">
        <v>31930000</v>
      </c>
      <c r="J72">
        <v>3955000</v>
      </c>
      <c r="K72" s="1">
        <f t="shared" si="4"/>
        <v>0.12386470404008769</v>
      </c>
    </row>
    <row r="73" spans="1:11" x14ac:dyDescent="0.2">
      <c r="A73" s="2" t="s">
        <v>171</v>
      </c>
      <c r="B73" s="2" t="s">
        <v>169</v>
      </c>
      <c r="C73" t="s">
        <v>172</v>
      </c>
      <c r="D73">
        <v>5243</v>
      </c>
      <c r="E73">
        <v>64670000</v>
      </c>
      <c r="F73">
        <v>13230000</v>
      </c>
      <c r="G73" s="1">
        <f t="shared" si="2"/>
        <v>0.20457708365548169</v>
      </c>
      <c r="H73">
        <v>5294</v>
      </c>
      <c r="I73">
        <v>62210000</v>
      </c>
      <c r="J73">
        <v>13330000</v>
      </c>
      <c r="K73" s="1">
        <f t="shared" si="4"/>
        <v>0.21427423243851471</v>
      </c>
    </row>
    <row r="74" spans="1:11" x14ac:dyDescent="0.2">
      <c r="A74" s="2" t="s">
        <v>173</v>
      </c>
      <c r="B74" s="2" t="s">
        <v>169</v>
      </c>
      <c r="C74" t="s">
        <v>174</v>
      </c>
      <c r="D74">
        <v>7428</v>
      </c>
      <c r="E74">
        <v>115100000</v>
      </c>
      <c r="F74">
        <v>24860000</v>
      </c>
      <c r="G74" s="1">
        <f t="shared" si="2"/>
        <v>0.21598609904430929</v>
      </c>
      <c r="H74">
        <v>3432</v>
      </c>
      <c r="I74">
        <v>34710000</v>
      </c>
      <c r="J74">
        <v>6346000</v>
      </c>
      <c r="K74" s="1">
        <f t="shared" ref="K74" si="5">J74/I74</f>
        <v>0.18282915586286372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46C0CE9A69594B831049960EF2E271" ma:contentTypeVersion="10" ma:contentTypeDescription="Create a new document." ma:contentTypeScope="" ma:versionID="a919800b21a3707cdbc1bdfbf341f8ca">
  <xsd:schema xmlns:xsd="http://www.w3.org/2001/XMLSchema" xmlns:xs="http://www.w3.org/2001/XMLSchema" xmlns:p="http://schemas.microsoft.com/office/2006/metadata/properties" xmlns:ns3="2feb4dc2-63cf-41de-970e-29440f679e19" targetNamespace="http://schemas.microsoft.com/office/2006/metadata/properties" ma:root="true" ma:fieldsID="ab4721b4147f7ac4ff54e8473836eb23" ns3:_="">
    <xsd:import namespace="2feb4dc2-63cf-41de-970e-29440f679e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b4dc2-63cf-41de-970e-29440f679e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b4dc2-63cf-41de-970e-29440f679e19" xsi:nil="true"/>
  </documentManagement>
</p:properties>
</file>

<file path=customXml/itemProps1.xml><?xml version="1.0" encoding="utf-8"?>
<ds:datastoreItem xmlns:ds="http://schemas.openxmlformats.org/officeDocument/2006/customXml" ds:itemID="{20363EB7-39D2-4D72-B298-572183ABF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ED8247-9160-446B-917A-DB4712F5C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b4dc2-63cf-41de-970e-29440f679e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DA8204-86B6-40D9-AC79-7B5ECEFB7F11}">
  <ds:schemaRefs>
    <ds:schemaRef ds:uri="http://schemas.microsoft.com/office/2006/metadata/properties"/>
    <ds:schemaRef ds:uri="http://schemas.microsoft.com/office/infopath/2007/PartnerControls"/>
    <ds:schemaRef ds:uri="2feb4dc2-63cf-41de-970e-29440f679e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Casey Spencer</dc:creator>
  <cp:keywords/>
  <dc:description/>
  <cp:lastModifiedBy>Abigail Wendland</cp:lastModifiedBy>
  <cp:revision/>
  <dcterms:created xsi:type="dcterms:W3CDTF">2026-03-20T00:59:00Z</dcterms:created>
  <dcterms:modified xsi:type="dcterms:W3CDTF">2026-04-25T23:47:27Z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0x010100E846C0CE9A69594B831049960EF2E271</vt:lpwstr>
  </property>
</Properties>
</file>