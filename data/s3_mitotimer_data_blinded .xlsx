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gailwendland/Documents/MicroPub/"/>
    </mc:Choice>
  </mc:AlternateContent>
  <xr:revisionPtr revIDLastSave="0" documentId="8_{D26B1396-D854-694F-B48A-325C4A43763B}" xr6:coauthVersionLast="47" xr6:coauthVersionMax="47" xr10:uidLastSave="{00000000-0000-0000-0000-000000000000}"/>
  <bookViews>
    <workbookView xWindow="0" yWindow="660" windowWidth="14700" windowHeight="17220" xr2:uid="{001578C0-8ECB-BA46-8078-5BF969021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G25" i="1"/>
  <c r="G26" i="1"/>
  <c r="K60" i="1"/>
  <c r="K34" i="1"/>
  <c r="K35" i="1"/>
  <c r="K36" i="1"/>
  <c r="K37" i="1"/>
  <c r="G33" i="1"/>
  <c r="G34" i="1"/>
  <c r="G35" i="1"/>
  <c r="G36" i="1"/>
  <c r="G37" i="1"/>
  <c r="K73" i="1"/>
  <c r="K74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7" i="1"/>
  <c r="G28" i="1"/>
  <c r="G29" i="1"/>
  <c r="G30" i="1"/>
  <c r="G31" i="1"/>
  <c r="G32" i="1"/>
  <c r="K11" i="1"/>
  <c r="G11" i="1"/>
  <c r="K72" i="1"/>
  <c r="K71" i="1"/>
  <c r="G71" i="1"/>
  <c r="G72" i="1"/>
  <c r="G73" i="1"/>
  <c r="G74" i="1"/>
  <c r="K7" i="1"/>
  <c r="K8" i="1"/>
  <c r="K9" i="1"/>
  <c r="K10" i="1"/>
  <c r="G7" i="1"/>
  <c r="G8" i="1"/>
  <c r="G9" i="1"/>
  <c r="G10" i="1"/>
  <c r="K5" i="1"/>
  <c r="K4" i="1"/>
  <c r="G4" i="1"/>
  <c r="K3" i="1"/>
  <c r="G3" i="1"/>
  <c r="K2" i="1"/>
  <c r="G2" i="1"/>
  <c r="G5" i="1"/>
  <c r="K6" i="1"/>
  <c r="G6" i="1"/>
  <c r="K70" i="1"/>
  <c r="G69" i="1"/>
  <c r="K68" i="1"/>
  <c r="G68" i="1"/>
  <c r="K67" i="1"/>
  <c r="G67" i="1"/>
  <c r="K66" i="1"/>
  <c r="G66" i="1"/>
  <c r="K65" i="1"/>
  <c r="G65" i="1"/>
  <c r="K62" i="1"/>
  <c r="G62" i="1"/>
  <c r="K63" i="1"/>
  <c r="G63" i="1"/>
  <c r="K64" i="1"/>
  <c r="G64" i="1"/>
  <c r="G60" i="1"/>
  <c r="G58" i="1"/>
  <c r="K58" i="1"/>
  <c r="K61" i="1"/>
  <c r="G61" i="1"/>
  <c r="K59" i="1"/>
  <c r="G59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K42" i="1"/>
  <c r="G48" i="1"/>
  <c r="K47" i="1"/>
  <c r="G47" i="1"/>
  <c r="G46" i="1"/>
  <c r="K46" i="1"/>
  <c r="K45" i="1"/>
  <c r="G45" i="1"/>
  <c r="G44" i="1"/>
  <c r="K44" i="1"/>
  <c r="K43" i="1"/>
  <c r="G43" i="1"/>
  <c r="G42" i="1"/>
  <c r="K41" i="1"/>
  <c r="G41" i="1"/>
  <c r="G39" i="1"/>
  <c r="K40" i="1"/>
  <c r="G40" i="1"/>
  <c r="K38" i="1"/>
  <c r="G38" i="1"/>
</calcChain>
</file>

<file path=xl/sharedStrings.xml><?xml version="1.0" encoding="utf-8"?>
<sst xmlns="http://schemas.openxmlformats.org/spreadsheetml/2006/main" count="669" uniqueCount="594">
  <si>
    <t>Fly_ID</t>
  </si>
  <si>
    <t>Summary</t>
  </si>
  <si>
    <t>Code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</si>
  <si>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</si>
  <si>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</si>
  <si>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</si>
  <si>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</si>
  <si>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</si>
  <si>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</si>
  <si>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</si>
  <si>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</si>
  <si>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</si>
  <si>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</si>
  <si>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</si>
  <si>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</si>
  <si>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</si>
  <si>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</si>
  <si>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</si>
  <si>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</si>
  <si>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</si>
  <si>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</si>
  <si>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</si>
  <si>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</si>
  <si>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</si>
  <si>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</si>
  <si>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</si>
  <si>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</si>
  <si>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</si>
  <si>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</si>
  <si>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</si>
  <si>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</si>
  <si>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</si>
  <si>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</si>
  <si>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</si>
  <si>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</si>
  <si>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</si>
  <si>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</si>
  <si>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</si>
  <si>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</si>
  <si>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</si>
  <si>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</si>
  <si>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</si>
  <si>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</si>
  <si>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</si>
  <si>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</si>
  <si>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</si>
  <si>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</si>
  <si>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</si>
  <si>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</si>
  <si>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</si>
  <si>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</si>
  <si>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</si>
  <si>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</si>
  <si>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</si>
  <si>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</si>
  <si>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</si>
  <si>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</si>
  <si>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</si>
  <si>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</si>
  <si>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</si>
  <si>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</si>
  <si>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</si>
  <si>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</si>
  <si>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</si>
  <si>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</si>
  <si>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</si>
  <si>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</si>
  <si>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</si>
  <si>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</si>
  <si>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</si>
  <si>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</si>
  <si>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</si>
  <si>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</si>
  <si>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</si>
  <si>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</si>
  <si>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</si>
  <si>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Left_ROI_Area</t>
  </si>
  <si>
    <t>Left_Green_IntDen</t>
  </si>
  <si>
    <t>Left_Red_IntDen</t>
  </si>
  <si>
    <t>Left_RedGreen_Ratio</t>
  </si>
  <si>
    <t>Right_ROI_Area</t>
  </si>
  <si>
    <t>Right_Green_IntDen</t>
  </si>
  <si>
    <t>Right_Red_IntDen</t>
  </si>
  <si>
    <t>Right_RedGreen_Ratio</t>
  </si>
  <si>
    <t>1848</t>
  </si>
  <si>
    <t>3851000</t>
  </si>
  <si>
    <t>1462</t>
  </si>
  <si>
    <t>22170000</t>
  </si>
  <si>
    <t>3993000</t>
  </si>
  <si>
    <t>2603</t>
  </si>
  <si>
    <t>1895</t>
  </si>
  <si>
    <t>37780000</t>
  </si>
  <si>
    <t>25180000</t>
  </si>
  <si>
    <t>9777000</t>
  </si>
  <si>
    <t>11420000</t>
  </si>
  <si>
    <t>4910</t>
  </si>
  <si>
    <t>21530000</t>
  </si>
  <si>
    <t>6687000</t>
  </si>
  <si>
    <t>28010000</t>
  </si>
  <si>
    <t>3803000</t>
  </si>
  <si>
    <t>1799</t>
  </si>
  <si>
    <t>1723</t>
  </si>
  <si>
    <t>33550000</t>
  </si>
  <si>
    <t>5287000</t>
  </si>
  <si>
    <t>2392</t>
  </si>
  <si>
    <t>39580000</t>
  </si>
  <si>
    <t>11280000</t>
  </si>
  <si>
    <t>2369</t>
  </si>
  <si>
    <t>40480000</t>
  </si>
  <si>
    <t>17010000</t>
  </si>
  <si>
    <t>2550</t>
  </si>
  <si>
    <t>38320000</t>
  </si>
  <si>
    <t>8126000</t>
  </si>
  <si>
    <t>3580</t>
  </si>
  <si>
    <t>35990000</t>
  </si>
  <si>
    <t>7209000</t>
  </si>
  <si>
    <t>3078</t>
  </si>
  <si>
    <t>52450000</t>
  </si>
  <si>
    <t>12800000</t>
  </si>
  <si>
    <t>2499</t>
  </si>
  <si>
    <t>27770000</t>
  </si>
  <si>
    <t>4812000</t>
  </si>
  <si>
    <t>3080</t>
  </si>
  <si>
    <t>46860000</t>
  </si>
  <si>
    <t>4891000</t>
  </si>
  <si>
    <t>2460</t>
  </si>
  <si>
    <t>27340000</t>
  </si>
  <si>
    <t>3363000</t>
  </si>
  <si>
    <t>2830</t>
  </si>
  <si>
    <t>27900000</t>
  </si>
  <si>
    <t>3238000</t>
  </si>
  <si>
    <t>21770000</t>
  </si>
  <si>
    <t>2380000</t>
  </si>
  <si>
    <t>3288</t>
  </si>
  <si>
    <t>35450000</t>
  </si>
  <si>
    <t>3919000</t>
  </si>
  <si>
    <t>2498</t>
  </si>
  <si>
    <t>23100000</t>
  </si>
  <si>
    <t>2461000</t>
  </si>
  <si>
    <t>2919</t>
  </si>
  <si>
    <t>27260000</t>
  </si>
  <si>
    <t>3077000</t>
  </si>
  <si>
    <t>3111</t>
  </si>
  <si>
    <t>30320000</t>
  </si>
  <si>
    <t>3248000</t>
  </si>
  <si>
    <t>2882</t>
  </si>
  <si>
    <t>17210000</t>
  </si>
  <si>
    <t>1788000</t>
  </si>
  <si>
    <t>2581</t>
  </si>
  <si>
    <t>17640000</t>
  </si>
  <si>
    <t>1578000</t>
  </si>
  <si>
    <t>3024</t>
  </si>
  <si>
    <t>69170000</t>
  </si>
  <si>
    <t>10480000</t>
  </si>
  <si>
    <t>3367</t>
  </si>
  <si>
    <t>37550000</t>
  </si>
  <si>
    <t>6750000</t>
  </si>
  <si>
    <t>2386</t>
  </si>
  <si>
    <t>21030000</t>
  </si>
  <si>
    <t>2573000</t>
  </si>
  <si>
    <t>2468</t>
  </si>
  <si>
    <t>39470000</t>
  </si>
  <si>
    <t>3934000</t>
  </si>
  <si>
    <t>2064</t>
  </si>
  <si>
    <t>28910000</t>
  </si>
  <si>
    <t>4956000</t>
  </si>
  <si>
    <t>2126</t>
  </si>
  <si>
    <t>37690000</t>
  </si>
  <si>
    <t>6107000</t>
  </si>
  <si>
    <t>3044</t>
  </si>
  <si>
    <t>10330000</t>
  </si>
  <si>
    <t>3740000</t>
  </si>
  <si>
    <t>3989</t>
  </si>
  <si>
    <t>47670000</t>
  </si>
  <si>
    <t>4852000</t>
  </si>
  <si>
    <t>3016</t>
  </si>
  <si>
    <t>50020000</t>
  </si>
  <si>
    <t>7401000</t>
  </si>
  <si>
    <t>3722</t>
  </si>
  <si>
    <t>39030000</t>
  </si>
  <si>
    <t>8787000</t>
  </si>
  <si>
    <t>4026</t>
  </si>
  <si>
    <t>76000000</t>
  </si>
  <si>
    <t>13710000</t>
  </si>
  <si>
    <t>5007</t>
  </si>
  <si>
    <t>66220000</t>
  </si>
  <si>
    <t>11190000</t>
  </si>
  <si>
    <t>3145</t>
  </si>
  <si>
    <t>67960000</t>
  </si>
  <si>
    <t>18130000</t>
  </si>
  <si>
    <t>4157</t>
  </si>
  <si>
    <t>49970000</t>
  </si>
  <si>
    <t>17850000</t>
  </si>
  <si>
    <t>3472</t>
  </si>
  <si>
    <t>33320000</t>
  </si>
  <si>
    <t>3836000</t>
  </si>
  <si>
    <t>4178</t>
  </si>
  <si>
    <t>153500000</t>
  </si>
  <si>
    <t>14540000</t>
  </si>
  <si>
    <t>4194</t>
  </si>
  <si>
    <t>10710000</t>
  </si>
  <si>
    <t>64010000</t>
  </si>
  <si>
    <t>3972</t>
  </si>
  <si>
    <t>68070000</t>
  </si>
  <si>
    <t>10890000</t>
  </si>
  <si>
    <t>4411</t>
  </si>
  <si>
    <t>45650000</t>
  </si>
  <si>
    <t>4749000</t>
  </si>
  <si>
    <t>3821</t>
  </si>
  <si>
    <t>59110000</t>
  </si>
  <si>
    <t>8661000</t>
  </si>
  <si>
    <t>3694</t>
  </si>
  <si>
    <t>46770000</t>
  </si>
  <si>
    <t>5387000</t>
  </si>
  <si>
    <t>3728</t>
  </si>
  <si>
    <t>18040000</t>
  </si>
  <si>
    <t>1882000</t>
  </si>
  <si>
    <t>2975</t>
  </si>
  <si>
    <t>47390000</t>
  </si>
  <si>
    <t>4750000</t>
  </si>
  <si>
    <t>3717</t>
  </si>
  <si>
    <t>41200000</t>
  </si>
  <si>
    <t>7253000</t>
  </si>
  <si>
    <t>3407</t>
  </si>
  <si>
    <t>41550000</t>
  </si>
  <si>
    <t>3873000</t>
  </si>
  <si>
    <t>4287</t>
  </si>
  <si>
    <t>64610000</t>
  </si>
  <si>
    <t>10830000</t>
  </si>
  <si>
    <t>4882</t>
  </si>
  <si>
    <t>74410000</t>
  </si>
  <si>
    <t>10110000</t>
  </si>
  <si>
    <t>4761</t>
  </si>
  <si>
    <t>51120000</t>
  </si>
  <si>
    <t>7178000</t>
  </si>
  <si>
    <t>4554</t>
  </si>
  <si>
    <t>53150000</t>
  </si>
  <si>
    <t>7514000</t>
  </si>
  <si>
    <t>4942</t>
  </si>
  <si>
    <t>23500000</t>
  </si>
  <si>
    <t>3440000</t>
  </si>
  <si>
    <t>5275</t>
  </si>
  <si>
    <t>83980000</t>
  </si>
  <si>
    <t>22560000</t>
  </si>
  <si>
    <t>4450</t>
  </si>
  <si>
    <t>51870000</t>
  </si>
  <si>
    <t>16270000</t>
  </si>
  <si>
    <t>5312</t>
  </si>
  <si>
    <t>79080000</t>
  </si>
  <si>
    <t>25720000</t>
  </si>
  <si>
    <t>4172</t>
  </si>
  <si>
    <t>51030000</t>
  </si>
  <si>
    <t>8559000</t>
  </si>
  <si>
    <t>4459</t>
  </si>
  <si>
    <t>44270000</t>
  </si>
  <si>
    <t>5556</t>
  </si>
  <si>
    <t>46340000</t>
  </si>
  <si>
    <t>14930000</t>
  </si>
  <si>
    <t>4423</t>
  </si>
  <si>
    <t>28000000</t>
  </si>
  <si>
    <t>4624000</t>
  </si>
  <si>
    <t>3584</t>
  </si>
  <si>
    <t>25110000</t>
  </si>
  <si>
    <t>3039000</t>
  </si>
  <si>
    <t>na</t>
  </si>
  <si>
    <t>5368</t>
  </si>
  <si>
    <t>55940000</t>
  </si>
  <si>
    <t>8576000</t>
  </si>
  <si>
    <t>4348</t>
  </si>
  <si>
    <t>4323</t>
  </si>
  <si>
    <t>5617</t>
  </si>
  <si>
    <t>6324</t>
  </si>
  <si>
    <t>5882</t>
  </si>
  <si>
    <t>4627</t>
  </si>
  <si>
    <t>4516</t>
  </si>
  <si>
    <t>999.3</t>
  </si>
  <si>
    <t>1057</t>
  </si>
  <si>
    <t>1439</t>
  </si>
  <si>
    <t>1195</t>
  </si>
  <si>
    <t>1124</t>
  </si>
  <si>
    <t>1137</t>
  </si>
  <si>
    <t>1184</t>
  </si>
  <si>
    <t>1413</t>
  </si>
  <si>
    <t>836.0</t>
  </si>
  <si>
    <t>855.8</t>
  </si>
  <si>
    <t>25790000</t>
  </si>
  <si>
    <t>18990000</t>
  </si>
  <si>
    <t>30870000</t>
  </si>
  <si>
    <t>22440000</t>
  </si>
  <si>
    <t>7501000</t>
  </si>
  <si>
    <t>3105000</t>
  </si>
  <si>
    <t>1234</t>
  </si>
  <si>
    <t>1096</t>
  </si>
  <si>
    <t>939.3</t>
  </si>
  <si>
    <t>1293</t>
  </si>
  <si>
    <t>1191</t>
  </si>
  <si>
    <t>1334</t>
  </si>
  <si>
    <t>1421</t>
  </si>
  <si>
    <t>1359</t>
  </si>
  <si>
    <t>1506</t>
  </si>
  <si>
    <t>1590</t>
  </si>
  <si>
    <t>7548000</t>
  </si>
  <si>
    <t>3355000</t>
  </si>
  <si>
    <t>19840000</t>
  </si>
  <si>
    <t>13120000</t>
  </si>
  <si>
    <t>22860000</t>
  </si>
  <si>
    <t>16980000</t>
  </si>
  <si>
    <t>21870000</t>
  </si>
  <si>
    <t>18500000</t>
  </si>
  <si>
    <t>15290000</t>
  </si>
  <si>
    <t>3202000</t>
  </si>
  <si>
    <t>16290000</t>
  </si>
  <si>
    <t>3643000</t>
  </si>
  <si>
    <t>7181000</t>
  </si>
  <si>
    <t>3226000</t>
  </si>
  <si>
    <t>14810000</t>
  </si>
  <si>
    <t>5267000</t>
  </si>
  <si>
    <t>14860000</t>
  </si>
  <si>
    <t>6146000</t>
  </si>
  <si>
    <t>19970000</t>
  </si>
  <si>
    <t>13150000</t>
  </si>
  <si>
    <t>13050000</t>
  </si>
  <si>
    <t>7602000</t>
  </si>
  <si>
    <t>8907000</t>
  </si>
  <si>
    <t>13700000</t>
  </si>
  <si>
    <t>15280000</t>
  </si>
  <si>
    <t>29900000</t>
  </si>
  <si>
    <t>35330000</t>
  </si>
  <si>
    <t>80190000</t>
  </si>
  <si>
    <t>71330000</t>
  </si>
  <si>
    <t>37660000</t>
  </si>
  <si>
    <t>67520000</t>
  </si>
  <si>
    <t>33450000</t>
  </si>
  <si>
    <t>28750000</t>
  </si>
  <si>
    <t>3066000</t>
  </si>
  <si>
    <t>7488</t>
  </si>
  <si>
    <t>48900000</t>
  </si>
  <si>
    <t>5934000</t>
  </si>
  <si>
    <t>69210000</t>
  </si>
  <si>
    <t>15530000</t>
  </si>
  <si>
    <t>13580000</t>
  </si>
  <si>
    <t>24810000</t>
  </si>
  <si>
    <t>49920000</t>
  </si>
  <si>
    <t>26800000</t>
  </si>
  <si>
    <t>19580000</t>
  </si>
  <si>
    <t>28350000</t>
  </si>
  <si>
    <t>1235</t>
  </si>
  <si>
    <t>14680000</t>
  </si>
  <si>
    <t>22050000</t>
  </si>
  <si>
    <t>1111</t>
  </si>
  <si>
    <t>18610000</t>
  </si>
  <si>
    <t>23020000</t>
  </si>
  <si>
    <t>978.5</t>
  </si>
  <si>
    <t>1145</t>
  </si>
  <si>
    <t>818.9</t>
  </si>
  <si>
    <t>734.1</t>
  </si>
  <si>
    <t>1246</t>
  </si>
  <si>
    <t>1259</t>
  </si>
  <si>
    <t>1152</t>
  </si>
  <si>
    <t>1075</t>
  </si>
  <si>
    <t>1204</t>
  </si>
  <si>
    <t>1607</t>
  </si>
  <si>
    <t>1155</t>
  </si>
  <si>
    <t>1459</t>
  </si>
  <si>
    <t>1668</t>
  </si>
  <si>
    <t>1828</t>
  </si>
  <si>
    <t>1587</t>
  </si>
  <si>
    <t>1790</t>
  </si>
  <si>
    <t>896.9</t>
  </si>
  <si>
    <t>1664</t>
  </si>
  <si>
    <t>1061</t>
  </si>
  <si>
    <t>1158</t>
  </si>
  <si>
    <t>1077</t>
  </si>
  <si>
    <t>1062</t>
  </si>
  <si>
    <t>1279</t>
  </si>
  <si>
    <t>1323</t>
  </si>
  <si>
    <t>1328</t>
  </si>
  <si>
    <t>1156</t>
  </si>
  <si>
    <t>1705</t>
  </si>
  <si>
    <t>1456</t>
  </si>
  <si>
    <t>1030</t>
  </si>
  <si>
    <t>1250</t>
  </si>
  <si>
    <t>1230</t>
  </si>
  <si>
    <t>1236</t>
  </si>
  <si>
    <t>870.0</t>
  </si>
  <si>
    <t>1066</t>
  </si>
  <si>
    <t>942.1</t>
  </si>
  <si>
    <t>895.5</t>
  </si>
  <si>
    <t>1314</t>
  </si>
  <si>
    <t>1466</t>
  </si>
  <si>
    <t>1273</t>
  </si>
  <si>
    <t>1429</t>
  </si>
  <si>
    <t>21040000</t>
  </si>
  <si>
    <t>34660000</t>
  </si>
  <si>
    <t>38910000</t>
  </si>
  <si>
    <t>76940000</t>
  </si>
  <si>
    <t>67710000</t>
  </si>
  <si>
    <t>14780000</t>
  </si>
  <si>
    <t>33200000</t>
  </si>
  <si>
    <t>7574000</t>
  </si>
  <si>
    <t>39700000</t>
  </si>
  <si>
    <t>8100000</t>
  </si>
  <si>
    <t>2923</t>
  </si>
  <si>
    <t>30070000</t>
  </si>
  <si>
    <t>2457000</t>
  </si>
  <si>
    <t>18470000</t>
  </si>
  <si>
    <t>47160000</t>
  </si>
  <si>
    <t>32120000</t>
  </si>
  <si>
    <t>97100000</t>
  </si>
  <si>
    <t>21110000</t>
  </si>
  <si>
    <t>9610000</t>
  </si>
  <si>
    <t>14300000</t>
  </si>
  <si>
    <t>652.7</t>
  </si>
  <si>
    <t>11990000</t>
  </si>
  <si>
    <t>19630000</t>
  </si>
  <si>
    <t>682.7</t>
  </si>
  <si>
    <t>18920000</t>
  </si>
  <si>
    <t>43890000</t>
  </si>
  <si>
    <t>30730000</t>
  </si>
  <si>
    <t>80040000</t>
  </si>
  <si>
    <t>68740000</t>
  </si>
  <si>
    <t>10100000</t>
  </si>
  <si>
    <t>9430000</t>
  </si>
  <si>
    <t>11560000</t>
  </si>
  <si>
    <t>13820000</t>
  </si>
  <si>
    <t>33240000</t>
  </si>
  <si>
    <t>64310000</t>
  </si>
  <si>
    <t>32540000</t>
  </si>
  <si>
    <t>58810000</t>
  </si>
  <si>
    <t>11230000</t>
  </si>
  <si>
    <t>1998000</t>
  </si>
  <si>
    <t>12400000</t>
  </si>
  <si>
    <t>2386000</t>
  </si>
  <si>
    <t>16590000</t>
  </si>
  <si>
    <t>5309000</t>
  </si>
  <si>
    <t>21360000</t>
  </si>
  <si>
    <t>6453000</t>
  </si>
  <si>
    <t>21750000</t>
  </si>
  <si>
    <t>10600000</t>
  </si>
  <si>
    <t>22580000</t>
  </si>
  <si>
    <t>11430000</t>
  </si>
  <si>
    <t>9766000</t>
  </si>
  <si>
    <t>7284000</t>
  </si>
  <si>
    <t>14130000</t>
  </si>
  <si>
    <t>19380000</t>
  </si>
  <si>
    <t>10140000</t>
  </si>
  <si>
    <t>21680000</t>
  </si>
  <si>
    <t>22790000</t>
  </si>
  <si>
    <t>21180000</t>
  </si>
  <si>
    <t>20270000</t>
  </si>
  <si>
    <t>18840000</t>
  </si>
  <si>
    <t>18880000</t>
  </si>
  <si>
    <t>15980000</t>
  </si>
  <si>
    <t>1547000</t>
  </si>
  <si>
    <t>15960000</t>
  </si>
  <si>
    <t>2049000</t>
  </si>
  <si>
    <t>14280000</t>
  </si>
  <si>
    <t>1594000</t>
  </si>
  <si>
    <t>12660000</t>
  </si>
  <si>
    <t>1766000</t>
  </si>
  <si>
    <t>12200000</t>
  </si>
  <si>
    <t>5543000</t>
  </si>
  <si>
    <t>5625000</t>
  </si>
  <si>
    <t>16510000</t>
  </si>
  <si>
    <t>16680000</t>
  </si>
  <si>
    <t>13950000</t>
  </si>
  <si>
    <t>14140000</t>
  </si>
  <si>
    <t>26460000</t>
  </si>
  <si>
    <t>34920000</t>
  </si>
  <si>
    <t>26870000</t>
  </si>
  <si>
    <t>32100000</t>
  </si>
  <si>
    <t>11360000</t>
  </si>
  <si>
    <t>6776000</t>
  </si>
  <si>
    <t>11530000</t>
  </si>
  <si>
    <t>6651000</t>
  </si>
  <si>
    <t>55210000</t>
  </si>
  <si>
    <t>124500000</t>
  </si>
  <si>
    <t>56230000</t>
  </si>
  <si>
    <t>104900000</t>
  </si>
  <si>
    <t>41370000</t>
  </si>
  <si>
    <t>88680000</t>
  </si>
  <si>
    <t>36380000</t>
  </si>
  <si>
    <t>61260000</t>
  </si>
  <si>
    <t>18770000</t>
  </si>
  <si>
    <t>26100000</t>
  </si>
  <si>
    <t>14700000</t>
  </si>
  <si>
    <t>17060000</t>
  </si>
  <si>
    <t>1141</t>
  </si>
  <si>
    <t>1363</t>
  </si>
  <si>
    <t>1200</t>
  </si>
  <si>
    <t>1500</t>
  </si>
  <si>
    <t>1520</t>
  </si>
  <si>
    <t>1515</t>
  </si>
  <si>
    <t>20560000</t>
  </si>
  <si>
    <t>55010000</t>
  </si>
  <si>
    <t>21390000</t>
  </si>
  <si>
    <t>34940000</t>
  </si>
  <si>
    <t>51610000</t>
  </si>
  <si>
    <t>66610000</t>
  </si>
  <si>
    <t>53650000</t>
  </si>
  <si>
    <t>99820000</t>
  </si>
  <si>
    <t>19870000</t>
  </si>
  <si>
    <t>26050000</t>
  </si>
  <si>
    <t>12980000</t>
  </si>
  <si>
    <t>3373</t>
  </si>
  <si>
    <t>30900000</t>
  </si>
  <si>
    <t>7709000</t>
  </si>
  <si>
    <t>nSyb1_Experiment-1405-Split Scenes-08-Airyscan Processing-11</t>
  </si>
  <si>
    <t>nSyb_Young</t>
  </si>
  <si>
    <t>nSyb2_Experiment-1405-Split Scenes-07-Airyscan Processing-05</t>
  </si>
  <si>
    <t>nSyb3_Experiment-1405-Split Scenes-06-Airyscan Processing-04</t>
  </si>
  <si>
    <t>nSyb4_Experiment-1405-Split Scenes-05-Airyscan Processing-14</t>
  </si>
  <si>
    <t>nSyb5_Experiment-1405-Split Scenes-04-Airyscan Processing-03</t>
  </si>
  <si>
    <t>nSyb6_Experiment-1405-Split Scenes-03-Airyscan Processing-02</t>
  </si>
  <si>
    <t>nSyb7_Experiment-1405-Split Scenes-02-Airyscan Processing-01</t>
  </si>
  <si>
    <t>nSyb1_15to20 Mito F 251031 Processed</t>
  </si>
  <si>
    <t>nSyb_Middle</t>
  </si>
  <si>
    <t>nSyb2_15to20 Mito F  251031-Airyscan Processing-02</t>
  </si>
  <si>
    <t>nSyb3_15to20 Mito F  251031-Airyscan Processing-04</t>
  </si>
  <si>
    <t>nSyb4_15to20 Mito F  251031-Airyscan Processing-11</t>
  </si>
  <si>
    <t>nSyb5_15to20 Mito F  251031-Airyscan Processing-10</t>
  </si>
  <si>
    <t>nSyb6_15to20 Mito F  251031-Airyscan Processing-09</t>
  </si>
  <si>
    <t>nSyb7_15to20 Mito F  251031-Airyscan Processing-05</t>
  </si>
  <si>
    <t>nSyb8_15to20 Mito F  251031-Airyscan Processing-07</t>
  </si>
  <si>
    <t>nSyb9_15to20 Mito F  251031-Airyscan Processing-08</t>
  </si>
  <si>
    <t>nSyb10_15to20 Mito F  251031-Airyscan Processing-14</t>
  </si>
  <si>
    <t>nSyb1_49to50d F 111125-Airyscan Processing-01</t>
  </si>
  <si>
    <t>nSyb_Old</t>
  </si>
  <si>
    <t>nSyb2_49to50d F 111125-Airyscan Processing-02</t>
  </si>
  <si>
    <t>nSyb3_49to50d F 111125-Airyscan Processing-03</t>
  </si>
  <si>
    <t>nSyb4_49to50d F 111125-Airyscan Processing-03-Airyscan Processing-04</t>
  </si>
  <si>
    <t>nSyb5_49to50d F 111125-Airyscan Processing-05</t>
  </si>
  <si>
    <t>nSyb6_49to50d F 111125-Airyscan Processing-06</t>
  </si>
  <si>
    <t>nSyb7_49to50d F 111125-Airyscan Processing-07</t>
  </si>
  <si>
    <t>nSyb8_49to50d F 111125-Airyscan Processing-08</t>
  </si>
  <si>
    <t>nSyb9_49to50d F 111125-Airyscan Processing-10</t>
  </si>
  <si>
    <t>2 nSyb F Mito Control 10to15d processed</t>
  </si>
  <si>
    <t>nSyb_NegativeControl_10to15</t>
  </si>
  <si>
    <t>4 nSyb F Mito Control 10to15d processed</t>
  </si>
  <si>
    <t>6 nSyb F Mito Control 10to15d processed</t>
  </si>
  <si>
    <t>1n_Syb_f_d15_d18_neg_control_Experiment-2809_AW_AW_18mar2026-Airyscan Processing-01</t>
  </si>
  <si>
    <t>nSyb_NegativeControl_15to18</t>
  </si>
  <si>
    <t>2n_Syb_f_d15_d18_neg_control_Experiment-2809_AW_AW_18mar2026-Airyscan Processing-02</t>
  </si>
  <si>
    <t>1 repeat nSyb F Mito Paraquat 10to15d raw-Airyscan Processing-07</t>
  </si>
  <si>
    <t>nSyb_PositiveControl_10to15</t>
  </si>
  <si>
    <t>3 nSyb Mito Paraquat 10to15d raw-Airyscan Processing-02</t>
  </si>
  <si>
    <t>5 nSyb F Mito Paraquat 10to15d raw-Airyscan Processing-04</t>
  </si>
  <si>
    <t>1n_Syb_f_d15_d18_pos_control_paraquat_Experiment-2809_AW_LL_18mar2026-Airyscan Processing-06</t>
  </si>
  <si>
    <t>nSyb_PositiveControl_15to18</t>
  </si>
  <si>
    <t>2n_Syb_f_d15_d18_pos_control_paraquat_Experiment-2809_AW_LL_18mar2026-Airyscan Processing-07</t>
  </si>
  <si>
    <t>Repo4_Experiment-1402-Split Scenes-10-Airyscan Processing-13</t>
  </si>
  <si>
    <t>Repo_Young</t>
  </si>
  <si>
    <t>Repo5_Experiment-1402-Split Scenes-09-Airyscan Processing-12</t>
  </si>
  <si>
    <t>Repo6_07 to 09 Experiment-1400 nRepo F d1to5 10-24-2025-Scene-3-P7-Airyscan Processing-01</t>
  </si>
  <si>
    <t>Repo7_F d1to5 10-24-2025-Scene-2-P8-Airyscan Processing-02</t>
  </si>
  <si>
    <t>Repo8_F d1to5 10-24-2025-Scene-1-P9-Airyscan Processing-03</t>
  </si>
  <si>
    <t>Repo1_15to20 Mito F 251031 3 channels-Airyscan Processing-13</t>
  </si>
  <si>
    <t>Repo_Middle</t>
  </si>
  <si>
    <t>Repo2_15to20 Mito F  251106-Airyscan Processing-06</t>
  </si>
  <si>
    <t>Repo3_15to20 Mito F  251106-Airyscan Processing-07</t>
  </si>
  <si>
    <t>Repo4_15to20 Mito F  251106-Airyscan Processing-08</t>
  </si>
  <si>
    <t>Repo5_15to20 Mito F  251106-Airyscan Processing-10</t>
  </si>
  <si>
    <t>Repo6_15to20 Mito F  251106-Airyscan Processing-12</t>
  </si>
  <si>
    <t>Repo7_15to20 Mito F  251106-Airyscan Processing-09</t>
  </si>
  <si>
    <t>Repo8_15to20 Mito F  251106-Airyscan Processing-13</t>
  </si>
  <si>
    <t>Repo9_15to20 Mito F  251106-Airyscan Processing-11</t>
  </si>
  <si>
    <t>Repo1_49to50d F 111125-Airyscan Processing-11</t>
  </si>
  <si>
    <t>Repo_Old</t>
  </si>
  <si>
    <t>Repo2_49to50d F 111125-Airyscan Processing-12</t>
  </si>
  <si>
    <t>Repo3_49to50d F 111125-Airyscan Processing-13</t>
  </si>
  <si>
    <t>Repo4_49to50d F 111125-Airyscan Processing-14</t>
  </si>
  <si>
    <t>Repo5_49to50d F 111125-Airyscan Processing-15</t>
  </si>
  <si>
    <t>Repo6_49to50d F 111125-Airyscan Processing-16</t>
  </si>
  <si>
    <t>Repo7_49to50d F 111125-Airyscan Processing-17</t>
  </si>
  <si>
    <t>Repo8_49to50d F 111125-Airyscan Processing-18</t>
  </si>
  <si>
    <t>Repo9_49to50d F 111125-Airyscan Processing-22</t>
  </si>
  <si>
    <t>1 Repo F Mito Control 10to15d processed</t>
  </si>
  <si>
    <t>Repo_NegativeControl_10to15</t>
  </si>
  <si>
    <t>3 Repo F Mito Control 10to15d processed</t>
  </si>
  <si>
    <t>4 Repo F Mito Control 10to15d processed</t>
  </si>
  <si>
    <t>1REPO_f_d15_d18_negative_control_Experiment-2809_AW_LL-Airyscan Processing-08</t>
  </si>
  <si>
    <t>Repo_NegativeControl_15to18</t>
  </si>
  <si>
    <t>2REPO_f_d15_d18_negative_control_Experiment-2809_AW_LL-Airyscan Processing-09</t>
  </si>
  <si>
    <t>3REPO_f_d15_d18_negative_control_Experiment-2809_AW_LL-Airyscan Processing-10</t>
  </si>
  <si>
    <t>2 Repo Mito Paraquat 10to15d raw-Airyscan Processing-01</t>
  </si>
  <si>
    <t>Repo_PositiveControl_10to15</t>
  </si>
  <si>
    <t>4 Repo F Mito Paraquat 10to15d raw-Airyscan Processing-03</t>
  </si>
  <si>
    <t>6 Left Repo F Mito Paraquat 10to15d raw-Airyscan Processing-06</t>
  </si>
  <si>
    <t>6 Right Repo F Mito Paraquat 10to15d processed</t>
  </si>
  <si>
    <t>7 Repo F Mito Paraquat 10to15d processed</t>
  </si>
  <si>
    <t>1REPO_f_d15_d18_Paraquat_pos_control_Experiment-2809_AW_AW_18mar2026-Airyscan Processing-02-Airyscan Processing-03</t>
  </si>
  <si>
    <t>Repo_PositiveControl_15to18</t>
  </si>
  <si>
    <t>2REPO_f_d15_d18_Paraquat_pos_control_Experiment-2809_AW_LL-Airyscan Processing-04</t>
  </si>
  <si>
    <t>3REPO_f_d15_d18_Paraquat_pos_control_Experiment-2809_AW_LL-Airyscan Processing-05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</si>
</sst>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A7DD-B948-A14F-9BBA-85B81BDBB867}">
  <dimension ref="A1:L74"/>
  <sheetViews>
    <sheetView tabSelected="1" topLeftCell="E1" zoomScale="75" workbookViewId="0">
      <selection activeCell="M5" sqref="M5"/>
    </sheetView>
  </sheetViews>
  <sheetFormatPr baseColWidth="10" defaultColWidth="11" defaultRowHeight="16" x14ac:dyDescent="0.2"/>
  <cols>
    <col min="1" max="1" width="9.1640625" customWidth="1"/>
    <col min="2" max="2" width="10.33203125" customWidth="1"/>
    <col min="4" max="4" width="13.83203125" style="1" customWidth="1"/>
    <col min="5" max="5" width="16.83203125" style="1" customWidth="1"/>
    <col min="6" max="6" width="16.5" style="1" customWidth="1"/>
    <col min="7" max="7" width="19.83203125" style="2" customWidth="1"/>
    <col min="8" max="8" width="15" style="1" customWidth="1"/>
    <col min="9" max="9" width="18.1640625" style="1" customWidth="1"/>
    <col min="10" max="10" width="17" style="1" customWidth="1"/>
    <col min="11" max="11" width="21" style="2" customWidth="1"/>
  </cols>
  <sheetData>
    <row r="1" spans="1:11" x14ac:dyDescent="0.2">
      <c r="A1" t="s">
        <v>0</v>
      </c>
      <c r="B1" t="s">
        <v>1</v>
      </c>
      <c r="C1" t="s">
        <v>2</v>
      </c>
      <c r="D1" s="1" t="s">
        <v>76</v>
      </c>
      <c r="E1" s="1" t="s">
        <v>77</v>
      </c>
      <c r="F1" s="1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2" t="s">
        <v>83</v>
      </c>
    </row>
    <row r="2" spans="1:11" x14ac:dyDescent="0.2">
      <c r="A2" s="3" t="s">
        <v>507</v>
      </c>
      <c r="B2" s="3" t="s">
        <v>508</v>
      </c>
      <c r="C2" t="s">
        <v>3</v>
      </c>
      <c r="D2" s="1" t="s">
        <v>275</v>
      </c>
      <c r="E2" s="1" t="s">
        <v>301</v>
      </c>
      <c r="F2" s="1" t="s">
        <v>302</v>
      </c>
      <c r="G2" s="2">
        <f>F2/E2</f>
        <v>0.44448860625331216</v>
      </c>
      <c r="H2" s="1" t="s">
        <v>276</v>
      </c>
      <c r="I2" s="1" t="s">
        <v>303</v>
      </c>
      <c r="J2" s="1" t="s">
        <v>304</v>
      </c>
      <c r="K2" s="2">
        <f>J2/I2</f>
        <v>0.66129032258064513</v>
      </c>
    </row>
    <row r="3" spans="1:11" x14ac:dyDescent="0.2">
      <c r="A3" s="3" t="s">
        <v>509</v>
      </c>
      <c r="B3" s="3" t="s">
        <v>508</v>
      </c>
      <c r="C3" t="s">
        <v>4</v>
      </c>
      <c r="D3" s="1" t="s">
        <v>277</v>
      </c>
      <c r="E3" s="1" t="s">
        <v>305</v>
      </c>
      <c r="F3" s="1" t="s">
        <v>306</v>
      </c>
      <c r="G3" s="2">
        <f t="shared" ref="G3:G4" si="0">F3/E3</f>
        <v>0.7427821522309711</v>
      </c>
      <c r="H3" s="1" t="s">
        <v>278</v>
      </c>
      <c r="I3" s="1" t="s">
        <v>307</v>
      </c>
      <c r="J3" s="1" t="s">
        <v>308</v>
      </c>
      <c r="K3" s="2">
        <f>J3/I3</f>
        <v>0.84590763603109287</v>
      </c>
    </row>
    <row r="4" spans="1:11" x14ac:dyDescent="0.2">
      <c r="A4" s="3" t="s">
        <v>510</v>
      </c>
      <c r="B4" s="3" t="s">
        <v>508</v>
      </c>
      <c r="C4" t="s">
        <v>5</v>
      </c>
      <c r="D4" s="1" t="s">
        <v>279</v>
      </c>
      <c r="E4" s="1" t="s">
        <v>309</v>
      </c>
      <c r="F4" s="1" t="s">
        <v>310</v>
      </c>
      <c r="G4" s="2">
        <f t="shared" si="0"/>
        <v>0.20941792020928712</v>
      </c>
      <c r="H4" s="1" t="s">
        <v>280</v>
      </c>
      <c r="I4" s="1" t="s">
        <v>311</v>
      </c>
      <c r="J4" s="1" t="s">
        <v>312</v>
      </c>
      <c r="K4" s="2">
        <f>J4/I4</f>
        <v>0.22363413136893801</v>
      </c>
    </row>
    <row r="5" spans="1:11" x14ac:dyDescent="0.2">
      <c r="A5" s="3" t="s">
        <v>511</v>
      </c>
      <c r="B5" s="3" t="s">
        <v>508</v>
      </c>
      <c r="C5" t="s">
        <v>6</v>
      </c>
      <c r="D5" s="1" t="s">
        <v>284</v>
      </c>
      <c r="E5" s="1" t="s">
        <v>289</v>
      </c>
      <c r="F5" s="1" t="s">
        <v>290</v>
      </c>
      <c r="G5" s="2">
        <f>F5/E5</f>
        <v>0.41394480735901878</v>
      </c>
      <c r="H5" s="1" t="s">
        <v>283</v>
      </c>
      <c r="I5" s="1" t="s">
        <v>313</v>
      </c>
      <c r="J5" s="1" t="s">
        <v>314</v>
      </c>
      <c r="K5" s="2">
        <f>J5/I5</f>
        <v>0.44924105277816462</v>
      </c>
    </row>
    <row r="6" spans="1:11" x14ac:dyDescent="0.2">
      <c r="A6" s="3" t="s">
        <v>512</v>
      </c>
      <c r="B6" s="3" t="s">
        <v>508</v>
      </c>
      <c r="C6" t="s">
        <v>7</v>
      </c>
      <c r="D6" s="1" t="s">
        <v>281</v>
      </c>
      <c r="E6" s="1" t="s">
        <v>285</v>
      </c>
      <c r="F6" s="1" t="s">
        <v>286</v>
      </c>
      <c r="G6" s="2">
        <f>F6/E6</f>
        <v>0.73633191159364098</v>
      </c>
      <c r="H6" s="1" t="s">
        <v>282</v>
      </c>
      <c r="I6" s="1" t="s">
        <v>287</v>
      </c>
      <c r="J6" s="1" t="s">
        <v>288</v>
      </c>
      <c r="K6" s="2">
        <f>J6/I6</f>
        <v>0.72691933916423712</v>
      </c>
    </row>
    <row r="7" spans="1:11" x14ac:dyDescent="0.2">
      <c r="A7" s="3" t="s">
        <v>513</v>
      </c>
      <c r="B7" s="3" t="s">
        <v>508</v>
      </c>
      <c r="C7" t="s">
        <v>8</v>
      </c>
      <c r="D7" s="1" t="s">
        <v>291</v>
      </c>
      <c r="E7" s="1" t="s">
        <v>315</v>
      </c>
      <c r="F7" s="1" t="s">
        <v>316</v>
      </c>
      <c r="G7" s="2">
        <f t="shared" ref="G7:G37" si="1">F7/E7</f>
        <v>0.35563808237677247</v>
      </c>
      <c r="H7" s="1" t="s">
        <v>292</v>
      </c>
      <c r="I7" s="1" t="s">
        <v>317</v>
      </c>
      <c r="J7" s="1" t="s">
        <v>318</v>
      </c>
      <c r="K7" s="2">
        <f t="shared" ref="K7:K37" si="2">J7/I7</f>
        <v>0.41359353970390311</v>
      </c>
    </row>
    <row r="8" spans="1:11" x14ac:dyDescent="0.2">
      <c r="A8" s="3" t="s">
        <v>514</v>
      </c>
      <c r="B8" s="3" t="s">
        <v>508</v>
      </c>
      <c r="C8" t="s">
        <v>9</v>
      </c>
      <c r="D8" s="1" t="s">
        <v>293</v>
      </c>
      <c r="E8" s="1" t="s">
        <v>319</v>
      </c>
      <c r="F8" s="1" t="s">
        <v>320</v>
      </c>
      <c r="G8" s="2">
        <f t="shared" si="1"/>
        <v>0.65848773159739604</v>
      </c>
      <c r="H8" s="1" t="s">
        <v>294</v>
      </c>
      <c r="I8" s="1" t="s">
        <v>321</v>
      </c>
      <c r="J8" s="1" t="s">
        <v>322</v>
      </c>
      <c r="K8" s="2">
        <f t="shared" si="2"/>
        <v>0.58252873563218388</v>
      </c>
    </row>
    <row r="9" spans="1:11" x14ac:dyDescent="0.2">
      <c r="A9" s="3" t="s">
        <v>515</v>
      </c>
      <c r="B9" s="3" t="s">
        <v>516</v>
      </c>
      <c r="C9" t="s">
        <v>10</v>
      </c>
      <c r="D9" s="1" t="s">
        <v>295</v>
      </c>
      <c r="E9" s="1" t="s">
        <v>323</v>
      </c>
      <c r="F9" s="1" t="s">
        <v>324</v>
      </c>
      <c r="G9" s="2">
        <f t="shared" si="1"/>
        <v>1.5381160884697429</v>
      </c>
      <c r="H9" s="1" t="s">
        <v>296</v>
      </c>
      <c r="I9" s="1" t="s">
        <v>327</v>
      </c>
      <c r="J9" s="1" t="s">
        <v>328</v>
      </c>
      <c r="K9" s="2">
        <f t="shared" si="2"/>
        <v>2.2697424285309933</v>
      </c>
    </row>
    <row r="10" spans="1:11" x14ac:dyDescent="0.2">
      <c r="A10" s="3" t="s">
        <v>517</v>
      </c>
      <c r="B10" s="3" t="s">
        <v>516</v>
      </c>
      <c r="C10" t="s">
        <v>11</v>
      </c>
      <c r="D10" s="1" t="s">
        <v>297</v>
      </c>
      <c r="E10" s="1" t="s">
        <v>325</v>
      </c>
      <c r="F10" s="1" t="s">
        <v>326</v>
      </c>
      <c r="G10" s="2">
        <f t="shared" si="1"/>
        <v>1.956806282722513</v>
      </c>
      <c r="H10" s="1" t="s">
        <v>298</v>
      </c>
      <c r="I10" s="1" t="s">
        <v>340</v>
      </c>
      <c r="J10" s="1" t="s">
        <v>341</v>
      </c>
      <c r="K10" s="2">
        <f t="shared" si="2"/>
        <v>1.8269513991163475</v>
      </c>
    </row>
    <row r="11" spans="1:11" x14ac:dyDescent="0.2">
      <c r="A11" s="3" t="s">
        <v>518</v>
      </c>
      <c r="B11" s="3" t="s">
        <v>516</v>
      </c>
      <c r="C11" t="s">
        <v>12</v>
      </c>
      <c r="D11" s="1" t="s">
        <v>299</v>
      </c>
      <c r="E11" s="1" t="s">
        <v>343</v>
      </c>
      <c r="F11" s="1" t="s">
        <v>342</v>
      </c>
      <c r="G11" s="2">
        <f t="shared" si="1"/>
        <v>1.862686567164179</v>
      </c>
      <c r="H11" s="1" t="s">
        <v>300</v>
      </c>
      <c r="I11" s="1" t="s">
        <v>344</v>
      </c>
      <c r="J11" s="1" t="s">
        <v>345</v>
      </c>
      <c r="K11" s="2">
        <f t="shared" si="2"/>
        <v>1.4479060265577119</v>
      </c>
    </row>
    <row r="12" spans="1:11" x14ac:dyDescent="0.2">
      <c r="A12" s="3" t="s">
        <v>519</v>
      </c>
      <c r="B12" s="3" t="s">
        <v>516</v>
      </c>
      <c r="C12" t="s">
        <v>13</v>
      </c>
      <c r="D12" s="1" t="s">
        <v>412</v>
      </c>
      <c r="E12" s="1" t="s">
        <v>413</v>
      </c>
      <c r="F12" s="1" t="s">
        <v>414</v>
      </c>
      <c r="G12" s="2">
        <f t="shared" si="1"/>
        <v>1.6371976647206006</v>
      </c>
      <c r="H12" s="1" t="s">
        <v>415</v>
      </c>
      <c r="I12" s="1" t="s">
        <v>416</v>
      </c>
      <c r="J12" s="1" t="s">
        <v>417</v>
      </c>
      <c r="K12" s="2">
        <f t="shared" si="2"/>
        <v>2.3197674418604652</v>
      </c>
    </row>
    <row r="13" spans="1:11" x14ac:dyDescent="0.2">
      <c r="A13" s="3" t="s">
        <v>520</v>
      </c>
      <c r="B13" s="3" t="s">
        <v>516</v>
      </c>
      <c r="C13" t="s">
        <v>14</v>
      </c>
      <c r="D13" s="1" t="s">
        <v>346</v>
      </c>
      <c r="E13" s="1" t="s">
        <v>347</v>
      </c>
      <c r="F13" s="1" t="s">
        <v>348</v>
      </c>
      <c r="G13" s="2">
        <f t="shared" si="1"/>
        <v>1.5020435967302452</v>
      </c>
      <c r="H13" s="1" t="s">
        <v>349</v>
      </c>
      <c r="I13" s="1" t="s">
        <v>350</v>
      </c>
      <c r="J13" s="1" t="s">
        <v>351</v>
      </c>
      <c r="K13" s="2">
        <f t="shared" si="2"/>
        <v>1.2369693713057497</v>
      </c>
    </row>
    <row r="14" spans="1:11" x14ac:dyDescent="0.2">
      <c r="A14" s="3" t="s">
        <v>521</v>
      </c>
      <c r="B14" s="3" t="s">
        <v>516</v>
      </c>
      <c r="C14" t="s">
        <v>15</v>
      </c>
      <c r="D14" s="1" t="s">
        <v>352</v>
      </c>
      <c r="E14" s="1" t="s">
        <v>405</v>
      </c>
      <c r="F14" s="1" t="s">
        <v>406</v>
      </c>
      <c r="G14" s="2">
        <f t="shared" si="1"/>
        <v>2.5533297238765567</v>
      </c>
      <c r="H14" s="1" t="s">
        <v>353</v>
      </c>
      <c r="I14" s="1" t="s">
        <v>407</v>
      </c>
      <c r="J14" s="1" t="s">
        <v>408</v>
      </c>
      <c r="K14" s="2">
        <f t="shared" si="2"/>
        <v>3.0230386052303859</v>
      </c>
    </row>
    <row r="15" spans="1:11" x14ac:dyDescent="0.2">
      <c r="A15" s="3" t="s">
        <v>522</v>
      </c>
      <c r="B15" s="3" t="s">
        <v>516</v>
      </c>
      <c r="C15" t="s">
        <v>16</v>
      </c>
      <c r="D15" s="1" t="s">
        <v>354</v>
      </c>
      <c r="E15" s="1" t="s">
        <v>340</v>
      </c>
      <c r="F15" s="1" t="s">
        <v>409</v>
      </c>
      <c r="G15" s="2">
        <f t="shared" si="1"/>
        <v>1.5544918998527246</v>
      </c>
      <c r="H15" s="1" t="s">
        <v>355</v>
      </c>
      <c r="I15" s="1" t="s">
        <v>410</v>
      </c>
      <c r="J15" s="1" t="s">
        <v>411</v>
      </c>
      <c r="K15" s="2">
        <f t="shared" si="2"/>
        <v>1.4880332986472424</v>
      </c>
    </row>
    <row r="16" spans="1:11" x14ac:dyDescent="0.2">
      <c r="A16" s="3" t="s">
        <v>523</v>
      </c>
      <c r="B16" s="3" t="s">
        <v>516</v>
      </c>
      <c r="C16" t="s">
        <v>17</v>
      </c>
      <c r="D16" s="1" t="s">
        <v>356</v>
      </c>
      <c r="E16" s="1" t="s">
        <v>418</v>
      </c>
      <c r="F16" s="1" t="s">
        <v>419</v>
      </c>
      <c r="G16" s="2">
        <f t="shared" si="1"/>
        <v>2.604620891636837</v>
      </c>
      <c r="H16" s="1" t="s">
        <v>357</v>
      </c>
      <c r="I16" s="1" t="s">
        <v>129</v>
      </c>
      <c r="J16" s="1" t="s">
        <v>420</v>
      </c>
      <c r="K16" s="2">
        <f t="shared" si="2"/>
        <v>2.4637992831541218</v>
      </c>
    </row>
    <row r="17" spans="1:11" x14ac:dyDescent="0.2">
      <c r="A17" s="3" t="s">
        <v>524</v>
      </c>
      <c r="B17" s="3" t="s">
        <v>516</v>
      </c>
      <c r="C17" t="s">
        <v>18</v>
      </c>
      <c r="D17" s="1" t="s">
        <v>358</v>
      </c>
      <c r="E17" s="1" t="s">
        <v>421</v>
      </c>
      <c r="F17" s="1" t="s">
        <v>422</v>
      </c>
      <c r="G17" s="2">
        <f t="shared" si="1"/>
        <v>0.93366336633663372</v>
      </c>
      <c r="H17" s="1" t="s">
        <v>359</v>
      </c>
      <c r="I17" s="1" t="s">
        <v>423</v>
      </c>
      <c r="J17" s="1" t="s">
        <v>424</v>
      </c>
      <c r="K17" s="2">
        <f t="shared" si="2"/>
        <v>1.1955017301038062</v>
      </c>
    </row>
    <row r="18" spans="1:11" x14ac:dyDescent="0.2">
      <c r="A18" s="3" t="s">
        <v>525</v>
      </c>
      <c r="B18" s="3" t="s">
        <v>516</v>
      </c>
      <c r="C18" t="s">
        <v>19</v>
      </c>
      <c r="D18" s="1" t="s">
        <v>360</v>
      </c>
      <c r="E18" s="1" t="s">
        <v>425</v>
      </c>
      <c r="F18" s="1" t="s">
        <v>426</v>
      </c>
      <c r="G18" s="2">
        <f t="shared" si="1"/>
        <v>1.9347172081829123</v>
      </c>
      <c r="H18" s="1" t="s">
        <v>361</v>
      </c>
      <c r="I18" s="1" t="s">
        <v>427</v>
      </c>
      <c r="J18" s="1" t="s">
        <v>428</v>
      </c>
      <c r="K18" s="2">
        <f t="shared" si="2"/>
        <v>1.8073140749846344</v>
      </c>
    </row>
    <row r="19" spans="1:11" x14ac:dyDescent="0.2">
      <c r="A19" s="3" t="s">
        <v>526</v>
      </c>
      <c r="B19" s="3" t="s">
        <v>527</v>
      </c>
      <c r="C19" t="s">
        <v>20</v>
      </c>
      <c r="D19" s="1" t="s">
        <v>362</v>
      </c>
      <c r="E19" s="1" t="s">
        <v>429</v>
      </c>
      <c r="F19" s="1" t="s">
        <v>430</v>
      </c>
      <c r="G19" s="2">
        <f t="shared" si="1"/>
        <v>0.17791629563668745</v>
      </c>
      <c r="H19" s="1" t="s">
        <v>363</v>
      </c>
      <c r="I19" s="1" t="s">
        <v>431</v>
      </c>
      <c r="J19" s="1" t="s">
        <v>432</v>
      </c>
      <c r="K19" s="2">
        <f t="shared" si="2"/>
        <v>0.19241935483870967</v>
      </c>
    </row>
    <row r="20" spans="1:11" x14ac:dyDescent="0.2">
      <c r="A20" s="3" t="s">
        <v>528</v>
      </c>
      <c r="B20" s="3" t="s">
        <v>527</v>
      </c>
      <c r="C20" t="s">
        <v>21</v>
      </c>
      <c r="D20" s="1" t="s">
        <v>364</v>
      </c>
      <c r="E20" s="1" t="s">
        <v>433</v>
      </c>
      <c r="F20" s="1" t="s">
        <v>434</v>
      </c>
      <c r="G20" s="2">
        <f t="shared" si="1"/>
        <v>0.32001205545509342</v>
      </c>
      <c r="H20" s="1" t="s">
        <v>365</v>
      </c>
      <c r="I20" s="1" t="s">
        <v>435</v>
      </c>
      <c r="J20" s="1" t="s">
        <v>436</v>
      </c>
      <c r="K20" s="2">
        <f t="shared" si="2"/>
        <v>0.30210674157303369</v>
      </c>
    </row>
    <row r="21" spans="1:11" x14ac:dyDescent="0.2">
      <c r="A21" s="3" t="s">
        <v>529</v>
      </c>
      <c r="B21" s="3" t="s">
        <v>527</v>
      </c>
      <c r="C21" t="s">
        <v>22</v>
      </c>
      <c r="D21" s="1" t="s">
        <v>366</v>
      </c>
      <c r="E21" s="1" t="s">
        <v>437</v>
      </c>
      <c r="F21" s="1" t="s">
        <v>438</v>
      </c>
      <c r="G21" s="2">
        <f t="shared" si="1"/>
        <v>0.48735632183908045</v>
      </c>
      <c r="H21" s="1" t="s">
        <v>367</v>
      </c>
      <c r="I21" s="1" t="s">
        <v>439</v>
      </c>
      <c r="J21" s="1" t="s">
        <v>440</v>
      </c>
      <c r="K21" s="2">
        <f t="shared" si="2"/>
        <v>0.50620017714791854</v>
      </c>
    </row>
    <row r="22" spans="1:11" x14ac:dyDescent="0.2">
      <c r="A22" s="3" t="s">
        <v>530</v>
      </c>
      <c r="B22" s="3" t="s">
        <v>527</v>
      </c>
      <c r="C22" t="s">
        <v>23</v>
      </c>
      <c r="D22" s="1" t="s">
        <v>368</v>
      </c>
      <c r="E22" s="1" t="s">
        <v>441</v>
      </c>
      <c r="F22" s="1" t="s">
        <v>442</v>
      </c>
      <c r="G22" s="2">
        <f t="shared" si="1"/>
        <v>0.74585295924636497</v>
      </c>
      <c r="H22" s="1" t="s">
        <v>369</v>
      </c>
      <c r="I22" s="1" t="s">
        <v>392</v>
      </c>
      <c r="J22" s="1" t="s">
        <v>443</v>
      </c>
      <c r="K22" s="2">
        <f t="shared" si="2"/>
        <v>0.67157794676806082</v>
      </c>
    </row>
    <row r="23" spans="1:11" x14ac:dyDescent="0.2">
      <c r="A23" s="3" t="s">
        <v>531</v>
      </c>
      <c r="B23" s="3" t="s">
        <v>527</v>
      </c>
      <c r="C23" t="s">
        <v>24</v>
      </c>
      <c r="D23" s="1" t="s">
        <v>370</v>
      </c>
      <c r="E23" s="1" t="s">
        <v>444</v>
      </c>
      <c r="F23" s="1" t="s">
        <v>445</v>
      </c>
      <c r="G23" s="2">
        <f t="shared" si="1"/>
        <v>0.52321981424148611</v>
      </c>
      <c r="H23" s="1" t="s">
        <v>371</v>
      </c>
      <c r="I23" s="1" t="s">
        <v>446</v>
      </c>
      <c r="J23" s="1" t="s">
        <v>447</v>
      </c>
      <c r="K23" s="2">
        <f t="shared" si="2"/>
        <v>1.0511992619926198</v>
      </c>
    </row>
    <row r="24" spans="1:11" x14ac:dyDescent="0.2">
      <c r="A24" s="3" t="s">
        <v>532</v>
      </c>
      <c r="B24" s="3" t="s">
        <v>527</v>
      </c>
      <c r="C24" t="s">
        <v>25</v>
      </c>
      <c r="D24" s="1" t="s">
        <v>372</v>
      </c>
      <c r="E24" s="1" t="s">
        <v>448</v>
      </c>
      <c r="F24" s="1" t="s">
        <v>449</v>
      </c>
      <c r="G24" s="2">
        <f t="shared" si="1"/>
        <v>0.95703493862134092</v>
      </c>
      <c r="H24" s="1" t="s">
        <v>373</v>
      </c>
      <c r="I24" s="1" t="s">
        <v>450</v>
      </c>
      <c r="J24" s="1" t="s">
        <v>451</v>
      </c>
      <c r="K24" s="2">
        <f t="shared" si="2"/>
        <v>1.0021231422505308</v>
      </c>
    </row>
    <row r="25" spans="1:11" x14ac:dyDescent="0.2">
      <c r="A25" s="3" t="s">
        <v>533</v>
      </c>
      <c r="B25" s="3" t="s">
        <v>527</v>
      </c>
      <c r="C25" t="s">
        <v>26</v>
      </c>
      <c r="D25" s="1" t="s">
        <v>374</v>
      </c>
      <c r="E25" s="1" t="s">
        <v>452</v>
      </c>
      <c r="F25" s="1" t="s">
        <v>453</v>
      </c>
      <c r="G25" s="2">
        <f t="shared" si="1"/>
        <v>9.6808510638297873E-2</v>
      </c>
      <c r="H25" s="1" t="s">
        <v>375</v>
      </c>
      <c r="I25" s="1" t="s">
        <v>454</v>
      </c>
      <c r="J25" s="1" t="s">
        <v>455</v>
      </c>
      <c r="K25" s="2">
        <f t="shared" si="2"/>
        <v>0.12838345864661654</v>
      </c>
    </row>
    <row r="26" spans="1:11" x14ac:dyDescent="0.2">
      <c r="A26" s="3" t="s">
        <v>534</v>
      </c>
      <c r="B26" s="3" t="s">
        <v>527</v>
      </c>
      <c r="C26" t="s">
        <v>27</v>
      </c>
      <c r="D26" s="1" t="s">
        <v>376</v>
      </c>
      <c r="E26" s="1" t="s">
        <v>456</v>
      </c>
      <c r="F26" s="1" t="s">
        <v>457</v>
      </c>
      <c r="G26" s="2">
        <f t="shared" si="1"/>
        <v>0.11162464985994398</v>
      </c>
      <c r="H26" s="1" t="s">
        <v>377</v>
      </c>
      <c r="I26" s="1" t="s">
        <v>458</v>
      </c>
      <c r="J26" s="1" t="s">
        <v>459</v>
      </c>
      <c r="K26" s="2">
        <f t="shared" si="2"/>
        <v>0.13949447077409163</v>
      </c>
    </row>
    <row r="27" spans="1:11" x14ac:dyDescent="0.2">
      <c r="A27" s="3" t="s">
        <v>535</v>
      </c>
      <c r="B27" s="3" t="s">
        <v>527</v>
      </c>
      <c r="C27" t="s">
        <v>28</v>
      </c>
      <c r="D27" s="1" t="s">
        <v>378</v>
      </c>
      <c r="E27" s="1" t="s">
        <v>460</v>
      </c>
      <c r="F27" s="1" t="s">
        <v>461</v>
      </c>
      <c r="G27" s="2">
        <f t="shared" si="1"/>
        <v>0.45434426229508196</v>
      </c>
      <c r="H27" s="1" t="s">
        <v>379</v>
      </c>
      <c r="I27" s="1" t="s">
        <v>429</v>
      </c>
      <c r="J27" s="1" t="s">
        <v>462</v>
      </c>
      <c r="K27" s="2">
        <f t="shared" si="2"/>
        <v>0.50089047195013359</v>
      </c>
    </row>
    <row r="28" spans="1:11" x14ac:dyDescent="0.2">
      <c r="A28" s="3" t="s">
        <v>536</v>
      </c>
      <c r="B28" s="3" t="s">
        <v>537</v>
      </c>
      <c r="C28" t="s">
        <v>29</v>
      </c>
      <c r="D28" s="1" t="s">
        <v>380</v>
      </c>
      <c r="E28" s="1" t="s">
        <v>463</v>
      </c>
      <c r="F28" s="1" t="s">
        <v>464</v>
      </c>
      <c r="G28" s="2">
        <f t="shared" si="1"/>
        <v>1.0102967898243489</v>
      </c>
      <c r="H28" s="1" t="s">
        <v>381</v>
      </c>
      <c r="I28" s="1" t="s">
        <v>465</v>
      </c>
      <c r="J28" s="1" t="s">
        <v>466</v>
      </c>
      <c r="K28" s="2">
        <f t="shared" si="2"/>
        <v>1.0136200716845878</v>
      </c>
    </row>
    <row r="29" spans="1:11" x14ac:dyDescent="0.2">
      <c r="A29" s="3" t="s">
        <v>538</v>
      </c>
      <c r="B29" s="3" t="s">
        <v>537</v>
      </c>
      <c r="C29" t="s">
        <v>30</v>
      </c>
      <c r="D29" s="1" t="s">
        <v>382</v>
      </c>
      <c r="E29" s="1" t="s">
        <v>467</v>
      </c>
      <c r="F29" s="1" t="s">
        <v>468</v>
      </c>
      <c r="G29" s="2">
        <f t="shared" si="1"/>
        <v>1.3197278911564625</v>
      </c>
      <c r="H29" s="1" t="s">
        <v>383</v>
      </c>
      <c r="I29" s="1" t="s">
        <v>469</v>
      </c>
      <c r="J29" s="1" t="s">
        <v>470</v>
      </c>
      <c r="K29" s="2">
        <f t="shared" si="2"/>
        <v>1.1946408634164496</v>
      </c>
    </row>
    <row r="30" spans="1:11" x14ac:dyDescent="0.2">
      <c r="A30" s="3" t="s">
        <v>539</v>
      </c>
      <c r="B30" s="3" t="s">
        <v>537</v>
      </c>
      <c r="C30" t="s">
        <v>31</v>
      </c>
      <c r="D30" s="1" t="s">
        <v>384</v>
      </c>
      <c r="E30" s="1" t="s">
        <v>471</v>
      </c>
      <c r="F30" s="1" t="s">
        <v>472</v>
      </c>
      <c r="G30" s="2">
        <f t="shared" si="1"/>
        <v>0.5964788732394366</v>
      </c>
      <c r="H30" s="1" t="s">
        <v>385</v>
      </c>
      <c r="I30" s="1" t="s">
        <v>473</v>
      </c>
      <c r="J30" s="1" t="s">
        <v>474</v>
      </c>
      <c r="K30" s="2">
        <f t="shared" si="2"/>
        <v>0.57684301821335648</v>
      </c>
    </row>
    <row r="31" spans="1:11" x14ac:dyDescent="0.2">
      <c r="A31" s="3" t="s">
        <v>540</v>
      </c>
      <c r="B31" s="3" t="s">
        <v>541</v>
      </c>
      <c r="C31" t="s">
        <v>32</v>
      </c>
      <c r="D31" s="1" t="s">
        <v>386</v>
      </c>
      <c r="E31" s="1" t="s">
        <v>475</v>
      </c>
      <c r="F31" s="1" t="s">
        <v>476</v>
      </c>
      <c r="G31" s="2">
        <f t="shared" si="1"/>
        <v>2.2550262633580873</v>
      </c>
      <c r="H31" s="1" t="s">
        <v>387</v>
      </c>
      <c r="I31" s="1" t="s">
        <v>477</v>
      </c>
      <c r="J31" s="1" t="s">
        <v>478</v>
      </c>
      <c r="K31" s="2">
        <f t="shared" si="2"/>
        <v>1.8655521963364752</v>
      </c>
    </row>
    <row r="32" spans="1:11" x14ac:dyDescent="0.2">
      <c r="A32" s="3" t="s">
        <v>542</v>
      </c>
      <c r="B32" s="3" t="s">
        <v>541</v>
      </c>
      <c r="C32" t="s">
        <v>33</v>
      </c>
      <c r="D32" s="1" t="s">
        <v>388</v>
      </c>
      <c r="E32" s="1" t="s">
        <v>479</v>
      </c>
      <c r="F32" s="1" t="s">
        <v>480</v>
      </c>
      <c r="G32" s="2">
        <f t="shared" si="1"/>
        <v>2.1435823060188541</v>
      </c>
      <c r="H32" s="1" t="s">
        <v>389</v>
      </c>
      <c r="I32" s="1" t="s">
        <v>481</v>
      </c>
      <c r="J32" s="1" t="s">
        <v>482</v>
      </c>
      <c r="K32" s="2">
        <f t="shared" si="2"/>
        <v>1.6838922484881804</v>
      </c>
    </row>
    <row r="33" spans="1:12" x14ac:dyDescent="0.2">
      <c r="A33" s="3" t="s">
        <v>543</v>
      </c>
      <c r="B33" s="3" t="s">
        <v>544</v>
      </c>
      <c r="C33" t="s">
        <v>34</v>
      </c>
      <c r="D33" s="1" t="s">
        <v>385</v>
      </c>
      <c r="E33" s="1" t="s">
        <v>483</v>
      </c>
      <c r="F33" s="1" t="s">
        <v>484</v>
      </c>
      <c r="G33" s="2">
        <f t="shared" si="1"/>
        <v>1.3905167820990942</v>
      </c>
      <c r="H33" s="1" t="s">
        <v>390</v>
      </c>
      <c r="I33" s="1" t="s">
        <v>485</v>
      </c>
      <c r="J33" s="1" t="s">
        <v>486</v>
      </c>
      <c r="K33" s="2">
        <f t="shared" si="2"/>
        <v>1.1605442176870748</v>
      </c>
    </row>
    <row r="34" spans="1:12" x14ac:dyDescent="0.2">
      <c r="A34" s="3" t="s">
        <v>545</v>
      </c>
      <c r="B34" s="3" t="s">
        <v>544</v>
      </c>
      <c r="C34" t="s">
        <v>35</v>
      </c>
      <c r="D34" s="1" t="s">
        <v>291</v>
      </c>
      <c r="E34" s="1" t="s">
        <v>392</v>
      </c>
      <c r="F34" s="1" t="s">
        <v>393</v>
      </c>
      <c r="G34" s="2">
        <f t="shared" si="1"/>
        <v>1.647338403041825</v>
      </c>
      <c r="H34" s="1" t="s">
        <v>391</v>
      </c>
      <c r="I34" s="1" t="s">
        <v>394</v>
      </c>
      <c r="J34" s="1" t="s">
        <v>395</v>
      </c>
      <c r="K34" s="2">
        <f t="shared" si="2"/>
        <v>1.9773837059881778</v>
      </c>
    </row>
    <row r="35" spans="1:12" x14ac:dyDescent="0.2">
      <c r="A35" s="3" t="s">
        <v>546</v>
      </c>
      <c r="B35" s="3" t="s">
        <v>544</v>
      </c>
      <c r="C35" t="s">
        <v>36</v>
      </c>
      <c r="D35" s="1" t="s">
        <v>487</v>
      </c>
      <c r="E35" s="1" t="s">
        <v>493</v>
      </c>
      <c r="F35" s="1" t="s">
        <v>494</v>
      </c>
      <c r="G35" s="2">
        <f t="shared" si="1"/>
        <v>2.6755836575875485</v>
      </c>
      <c r="H35" s="1" t="s">
        <v>488</v>
      </c>
      <c r="I35" s="1" t="s">
        <v>495</v>
      </c>
      <c r="J35" s="1" t="s">
        <v>496</v>
      </c>
      <c r="K35" s="2">
        <f t="shared" si="2"/>
        <v>1.6334735857877514</v>
      </c>
    </row>
    <row r="36" spans="1:12" x14ac:dyDescent="0.2">
      <c r="A36" s="3" t="s">
        <v>547</v>
      </c>
      <c r="B36" s="3" t="s">
        <v>548</v>
      </c>
      <c r="C36" t="s">
        <v>37</v>
      </c>
      <c r="D36" s="1" t="s">
        <v>489</v>
      </c>
      <c r="E36" s="1" t="s">
        <v>497</v>
      </c>
      <c r="F36" s="1" t="s">
        <v>498</v>
      </c>
      <c r="G36" s="2">
        <f t="shared" si="1"/>
        <v>1.2906413485758574</v>
      </c>
      <c r="H36" s="1" t="s">
        <v>490</v>
      </c>
      <c r="I36" s="1" t="s">
        <v>499</v>
      </c>
      <c r="J36" s="1" t="s">
        <v>500</v>
      </c>
      <c r="K36" s="2">
        <f t="shared" si="2"/>
        <v>1.860577819198509</v>
      </c>
    </row>
    <row r="37" spans="1:12" x14ac:dyDescent="0.2">
      <c r="A37" s="3" t="s">
        <v>549</v>
      </c>
      <c r="B37" s="3" t="s">
        <v>548</v>
      </c>
      <c r="C37" t="s">
        <v>38</v>
      </c>
      <c r="D37" s="1" t="s">
        <v>491</v>
      </c>
      <c r="E37" s="1" t="s">
        <v>501</v>
      </c>
      <c r="F37" s="1" t="s">
        <v>502</v>
      </c>
      <c r="G37" s="2">
        <f t="shared" si="1"/>
        <v>1.311021640664318</v>
      </c>
      <c r="H37" s="1" t="s">
        <v>492</v>
      </c>
      <c r="I37" s="1" t="s">
        <v>503</v>
      </c>
      <c r="J37" s="1" t="s">
        <v>465</v>
      </c>
      <c r="K37" s="2">
        <f t="shared" si="2"/>
        <v>1.0747303543913713</v>
      </c>
    </row>
    <row r="38" spans="1:12" x14ac:dyDescent="0.2">
      <c r="A38" s="3" t="s">
        <v>550</v>
      </c>
      <c r="B38" s="3" t="s">
        <v>551</v>
      </c>
      <c r="C38" t="s">
        <v>39</v>
      </c>
      <c r="D38" s="1" t="s">
        <v>84</v>
      </c>
      <c r="E38" s="1">
        <v>25810000</v>
      </c>
      <c r="F38" s="1" t="s">
        <v>85</v>
      </c>
      <c r="G38" s="2">
        <f t="shared" ref="G38:G57" si="3">F38/E38</f>
        <v>0.14920573421154593</v>
      </c>
      <c r="H38" s="1" t="s">
        <v>86</v>
      </c>
      <c r="I38" s="1" t="s">
        <v>87</v>
      </c>
      <c r="J38" s="1" t="s">
        <v>88</v>
      </c>
      <c r="K38" s="2">
        <f>J38/I38</f>
        <v>0.1801082543978349</v>
      </c>
    </row>
    <row r="39" spans="1:12" x14ac:dyDescent="0.2">
      <c r="A39" s="3" t="s">
        <v>552</v>
      </c>
      <c r="B39" s="3" t="s">
        <v>551</v>
      </c>
      <c r="C39" t="s">
        <v>40</v>
      </c>
      <c r="D39" s="1" t="s">
        <v>95</v>
      </c>
      <c r="E39" s="1" t="s">
        <v>96</v>
      </c>
      <c r="F39" s="1" t="s">
        <v>97</v>
      </c>
      <c r="G39" s="2">
        <f t="shared" si="3"/>
        <v>0.31058987459359033</v>
      </c>
      <c r="H39" s="1" t="s">
        <v>504</v>
      </c>
      <c r="I39" s="1" t="s">
        <v>505</v>
      </c>
      <c r="J39" s="1" t="s">
        <v>506</v>
      </c>
      <c r="K39" s="2">
        <f>J39/I39</f>
        <v>0.24948220064724919</v>
      </c>
    </row>
    <row r="40" spans="1:12" x14ac:dyDescent="0.2">
      <c r="A40" s="3" t="s">
        <v>553</v>
      </c>
      <c r="B40" s="3" t="s">
        <v>551</v>
      </c>
      <c r="C40" t="s">
        <v>41</v>
      </c>
      <c r="D40" s="1" t="s">
        <v>89</v>
      </c>
      <c r="E40" s="1" t="s">
        <v>92</v>
      </c>
      <c r="F40" s="1" t="s">
        <v>93</v>
      </c>
      <c r="G40" s="2">
        <f t="shared" si="3"/>
        <v>0.38828435266084194</v>
      </c>
      <c r="H40" s="1" t="s">
        <v>90</v>
      </c>
      <c r="I40" s="1" t="s">
        <v>91</v>
      </c>
      <c r="J40" s="1" t="s">
        <v>94</v>
      </c>
      <c r="K40" s="2">
        <f t="shared" ref="K40:K57" si="4">J40/I40</f>
        <v>0.30227633668607728</v>
      </c>
    </row>
    <row r="41" spans="1:12" x14ac:dyDescent="0.2">
      <c r="A41" s="3" t="s">
        <v>554</v>
      </c>
      <c r="B41" s="3" t="s">
        <v>551</v>
      </c>
      <c r="C41" t="s">
        <v>42</v>
      </c>
      <c r="D41" s="1" t="s">
        <v>100</v>
      </c>
      <c r="E41" s="1" t="s">
        <v>98</v>
      </c>
      <c r="F41" s="1" t="s">
        <v>99</v>
      </c>
      <c r="G41" s="2">
        <f t="shared" si="3"/>
        <v>0.13577293823634418</v>
      </c>
      <c r="H41" s="1" t="s">
        <v>101</v>
      </c>
      <c r="I41" s="1" t="s">
        <v>102</v>
      </c>
      <c r="J41" s="1" t="s">
        <v>103</v>
      </c>
      <c r="K41" s="2">
        <f t="shared" si="4"/>
        <v>0.15758569299552905</v>
      </c>
    </row>
    <row r="42" spans="1:12" x14ac:dyDescent="0.2">
      <c r="A42" s="3" t="s">
        <v>555</v>
      </c>
      <c r="B42" s="3" t="s">
        <v>551</v>
      </c>
      <c r="C42" t="s">
        <v>43</v>
      </c>
      <c r="D42" s="1" t="s">
        <v>107</v>
      </c>
      <c r="E42" s="1" t="s">
        <v>108</v>
      </c>
      <c r="F42" s="1" t="s">
        <v>109</v>
      </c>
      <c r="G42" s="2">
        <f t="shared" si="3"/>
        <v>0.42020750988142291</v>
      </c>
      <c r="H42" s="1" t="s">
        <v>104</v>
      </c>
      <c r="I42" s="1" t="s">
        <v>105</v>
      </c>
      <c r="J42" s="1" t="s">
        <v>106</v>
      </c>
      <c r="K42" s="2">
        <f>J42/I42</f>
        <v>0.28499242041435069</v>
      </c>
      <c r="L42" s="1"/>
    </row>
    <row r="43" spans="1:12" x14ac:dyDescent="0.2">
      <c r="A43" s="3" t="s">
        <v>556</v>
      </c>
      <c r="B43" s="3" t="s">
        <v>557</v>
      </c>
      <c r="C43" t="s">
        <v>44</v>
      </c>
      <c r="D43" s="1" t="s">
        <v>110</v>
      </c>
      <c r="E43" s="1" t="s">
        <v>111</v>
      </c>
      <c r="F43" s="1" t="s">
        <v>112</v>
      </c>
      <c r="G43" s="2">
        <f t="shared" si="3"/>
        <v>0.21205636743215031</v>
      </c>
      <c r="H43" s="1" t="s">
        <v>113</v>
      </c>
      <c r="I43" s="1" t="s">
        <v>114</v>
      </c>
      <c r="J43" s="1" t="s">
        <v>115</v>
      </c>
      <c r="K43" s="2">
        <f t="shared" si="4"/>
        <v>0.20030564045568214</v>
      </c>
    </row>
    <row r="44" spans="1:12" x14ac:dyDescent="0.2">
      <c r="A44" s="3" t="s">
        <v>558</v>
      </c>
      <c r="B44" s="3" t="s">
        <v>557</v>
      </c>
      <c r="C44" t="s">
        <v>45</v>
      </c>
      <c r="D44" s="1" t="s">
        <v>119</v>
      </c>
      <c r="E44" s="1" t="s">
        <v>120</v>
      </c>
      <c r="F44" s="1" t="s">
        <v>121</v>
      </c>
      <c r="G44" s="2">
        <f t="shared" si="3"/>
        <v>0.17328051854519266</v>
      </c>
      <c r="H44" s="1" t="s">
        <v>116</v>
      </c>
      <c r="I44" s="1" t="s">
        <v>117</v>
      </c>
      <c r="J44" s="1" t="s">
        <v>118</v>
      </c>
      <c r="K44" s="2">
        <f t="shared" si="4"/>
        <v>0.24404194470924689</v>
      </c>
      <c r="L44" s="1"/>
    </row>
    <row r="45" spans="1:12" x14ac:dyDescent="0.2">
      <c r="A45" s="3" t="s">
        <v>559</v>
      </c>
      <c r="B45" s="3" t="s">
        <v>557</v>
      </c>
      <c r="C45" t="s">
        <v>46</v>
      </c>
      <c r="D45" s="1" t="s">
        <v>122</v>
      </c>
      <c r="E45" s="1" t="s">
        <v>123</v>
      </c>
      <c r="F45" s="1" t="s">
        <v>124</v>
      </c>
      <c r="G45" s="2">
        <f t="shared" si="3"/>
        <v>0.10437473324797268</v>
      </c>
      <c r="H45" s="1" t="s">
        <v>125</v>
      </c>
      <c r="I45" s="1" t="s">
        <v>126</v>
      </c>
      <c r="J45" s="1" t="s">
        <v>127</v>
      </c>
      <c r="K45" s="2">
        <f t="shared" si="4"/>
        <v>0.12300658376005852</v>
      </c>
    </row>
    <row r="46" spans="1:12" x14ac:dyDescent="0.2">
      <c r="A46" s="3" t="s">
        <v>560</v>
      </c>
      <c r="B46" s="3" t="s">
        <v>557</v>
      </c>
      <c r="C46" t="s">
        <v>47</v>
      </c>
      <c r="D46" s="1" t="s">
        <v>100</v>
      </c>
      <c r="E46" s="1" t="s">
        <v>131</v>
      </c>
      <c r="F46" s="1" t="s">
        <v>132</v>
      </c>
      <c r="G46" s="2">
        <f t="shared" si="3"/>
        <v>0.10932475884244373</v>
      </c>
      <c r="H46" s="1" t="s">
        <v>128</v>
      </c>
      <c r="I46" s="1" t="s">
        <v>129</v>
      </c>
      <c r="J46" s="1" t="s">
        <v>130</v>
      </c>
      <c r="K46" s="2">
        <f t="shared" si="4"/>
        <v>0.1160573476702509</v>
      </c>
    </row>
    <row r="47" spans="1:12" x14ac:dyDescent="0.2">
      <c r="A47" s="3" t="s">
        <v>561</v>
      </c>
      <c r="B47" s="3" t="s">
        <v>557</v>
      </c>
      <c r="C47" t="s">
        <v>48</v>
      </c>
      <c r="D47" s="1" t="s">
        <v>133</v>
      </c>
      <c r="E47" s="1" t="s">
        <v>134</v>
      </c>
      <c r="F47" s="1" t="s">
        <v>135</v>
      </c>
      <c r="G47" s="2">
        <f t="shared" si="3"/>
        <v>0.11055007052186178</v>
      </c>
      <c r="H47" s="1" t="s">
        <v>136</v>
      </c>
      <c r="I47" s="1" t="s">
        <v>137</v>
      </c>
      <c r="J47" s="1" t="s">
        <v>138</v>
      </c>
      <c r="K47" s="2">
        <f t="shared" si="4"/>
        <v>0.10653679653679654</v>
      </c>
    </row>
    <row r="48" spans="1:12" x14ac:dyDescent="0.2">
      <c r="A48" s="3" t="s">
        <v>562</v>
      </c>
      <c r="B48" s="3" t="s">
        <v>557</v>
      </c>
      <c r="C48" t="s">
        <v>49</v>
      </c>
      <c r="D48" s="1" t="s">
        <v>139</v>
      </c>
      <c r="E48" s="1" t="s">
        <v>140</v>
      </c>
      <c r="F48" s="1" t="s">
        <v>141</v>
      </c>
      <c r="G48" s="2">
        <f t="shared" si="3"/>
        <v>0.11287600880410859</v>
      </c>
      <c r="H48" s="1" t="s">
        <v>142</v>
      </c>
      <c r="I48" s="1" t="s">
        <v>143</v>
      </c>
      <c r="J48" s="1" t="s">
        <v>144</v>
      </c>
      <c r="K48" s="2">
        <f t="shared" si="4"/>
        <v>0.10712401055408971</v>
      </c>
    </row>
    <row r="49" spans="1:11" x14ac:dyDescent="0.2">
      <c r="A49" s="3" t="s">
        <v>563</v>
      </c>
      <c r="B49" s="3" t="s">
        <v>557</v>
      </c>
      <c r="C49" t="s">
        <v>50</v>
      </c>
      <c r="D49" s="1" t="s">
        <v>145</v>
      </c>
      <c r="E49" s="1" t="s">
        <v>146</v>
      </c>
      <c r="F49" s="1" t="s">
        <v>147</v>
      </c>
      <c r="G49" s="2">
        <f t="shared" si="3"/>
        <v>0.10389308541545612</v>
      </c>
      <c r="H49" s="1" t="s">
        <v>148</v>
      </c>
      <c r="I49" s="1" t="s">
        <v>149</v>
      </c>
      <c r="J49" s="1" t="s">
        <v>150</v>
      </c>
      <c r="K49" s="2">
        <f t="shared" si="4"/>
        <v>8.9455782312925169E-2</v>
      </c>
    </row>
    <row r="50" spans="1:11" x14ac:dyDescent="0.2">
      <c r="A50" s="3" t="s">
        <v>564</v>
      </c>
      <c r="B50" s="3" t="s">
        <v>557</v>
      </c>
      <c r="C50" t="s">
        <v>51</v>
      </c>
      <c r="D50" s="1" t="s">
        <v>151</v>
      </c>
      <c r="E50" s="1" t="s">
        <v>152</v>
      </c>
      <c r="F50" s="1" t="s">
        <v>153</v>
      </c>
      <c r="G50" s="2">
        <f t="shared" si="3"/>
        <v>0.15151077056527396</v>
      </c>
      <c r="H50" s="1" t="s">
        <v>154</v>
      </c>
      <c r="I50" s="1" t="s">
        <v>155</v>
      </c>
      <c r="J50" s="1" t="s">
        <v>156</v>
      </c>
      <c r="K50" s="2">
        <f t="shared" si="4"/>
        <v>0.17976031957390146</v>
      </c>
    </row>
    <row r="51" spans="1:11" x14ac:dyDescent="0.2">
      <c r="A51" s="3" t="s">
        <v>565</v>
      </c>
      <c r="B51" s="3" t="s">
        <v>557</v>
      </c>
      <c r="C51" t="s">
        <v>52</v>
      </c>
      <c r="D51" s="1" t="s">
        <v>157</v>
      </c>
      <c r="E51" s="1" t="s">
        <v>158</v>
      </c>
      <c r="F51" s="1" t="s">
        <v>159</v>
      </c>
      <c r="G51" s="2">
        <f t="shared" si="3"/>
        <v>0.12234902520209225</v>
      </c>
      <c r="H51" s="1" t="s">
        <v>160</v>
      </c>
      <c r="I51" s="1" t="s">
        <v>161</v>
      </c>
      <c r="J51" s="1" t="s">
        <v>162</v>
      </c>
      <c r="K51" s="2">
        <f t="shared" si="4"/>
        <v>9.9670635926019768E-2</v>
      </c>
    </row>
    <row r="52" spans="1:11" x14ac:dyDescent="0.2">
      <c r="A52" s="3" t="s">
        <v>566</v>
      </c>
      <c r="B52" s="3" t="s">
        <v>567</v>
      </c>
      <c r="C52" t="s">
        <v>53</v>
      </c>
      <c r="D52" s="1" t="s">
        <v>163</v>
      </c>
      <c r="E52" s="1" t="s">
        <v>164</v>
      </c>
      <c r="F52" s="1" t="s">
        <v>165</v>
      </c>
      <c r="G52" s="2">
        <f t="shared" si="3"/>
        <v>0.17142857142857143</v>
      </c>
      <c r="H52" s="1" t="s">
        <v>166</v>
      </c>
      <c r="I52" s="1" t="s">
        <v>167</v>
      </c>
      <c r="J52" s="1" t="s">
        <v>168</v>
      </c>
      <c r="K52" s="2">
        <f t="shared" si="4"/>
        <v>0.16203236932873441</v>
      </c>
    </row>
    <row r="53" spans="1:11" x14ac:dyDescent="0.2">
      <c r="A53" s="3" t="s">
        <v>568</v>
      </c>
      <c r="B53" s="3" t="s">
        <v>567</v>
      </c>
      <c r="C53" t="s">
        <v>54</v>
      </c>
      <c r="D53" s="1" t="s">
        <v>169</v>
      </c>
      <c r="E53" s="1" t="s">
        <v>170</v>
      </c>
      <c r="F53" s="1" t="s">
        <v>171</v>
      </c>
      <c r="G53" s="2">
        <f t="shared" si="3"/>
        <v>0.36205227492739595</v>
      </c>
      <c r="H53" s="1" t="s">
        <v>172</v>
      </c>
      <c r="I53" s="1" t="s">
        <v>173</v>
      </c>
      <c r="J53" s="1" t="s">
        <v>174</v>
      </c>
      <c r="K53" s="2">
        <f t="shared" si="4"/>
        <v>0.10178309209146214</v>
      </c>
    </row>
    <row r="54" spans="1:11" x14ac:dyDescent="0.2">
      <c r="A54" s="3" t="s">
        <v>569</v>
      </c>
      <c r="B54" s="3" t="s">
        <v>567</v>
      </c>
      <c r="C54" t="s">
        <v>55</v>
      </c>
      <c r="D54" s="1" t="s">
        <v>175</v>
      </c>
      <c r="E54" s="1" t="s">
        <v>176</v>
      </c>
      <c r="F54" s="1" t="s">
        <v>177</v>
      </c>
      <c r="G54" s="2">
        <f t="shared" si="3"/>
        <v>0.14796081567373051</v>
      </c>
      <c r="H54" s="1" t="s">
        <v>178</v>
      </c>
      <c r="I54" s="1" t="s">
        <v>179</v>
      </c>
      <c r="J54" s="1" t="s">
        <v>180</v>
      </c>
      <c r="K54" s="2">
        <f t="shared" si="4"/>
        <v>0.22513451191391237</v>
      </c>
    </row>
    <row r="55" spans="1:11" x14ac:dyDescent="0.2">
      <c r="A55" s="3" t="s">
        <v>570</v>
      </c>
      <c r="B55" s="3" t="s">
        <v>567</v>
      </c>
      <c r="C55" t="s">
        <v>56</v>
      </c>
      <c r="D55" s="1" t="s">
        <v>181</v>
      </c>
      <c r="E55" s="1" t="s">
        <v>182</v>
      </c>
      <c r="F55" s="1" t="s">
        <v>183</v>
      </c>
      <c r="G55" s="2">
        <f t="shared" si="3"/>
        <v>0.18039473684210527</v>
      </c>
      <c r="H55" s="1" t="s">
        <v>184</v>
      </c>
      <c r="I55" s="1" t="s">
        <v>185</v>
      </c>
      <c r="J55" s="1" t="s">
        <v>186</v>
      </c>
      <c r="K55" s="2">
        <f t="shared" si="4"/>
        <v>0.16898218061008757</v>
      </c>
    </row>
    <row r="56" spans="1:11" x14ac:dyDescent="0.2">
      <c r="A56" s="3" t="s">
        <v>571</v>
      </c>
      <c r="B56" s="3" t="s">
        <v>567</v>
      </c>
      <c r="C56" t="s">
        <v>57</v>
      </c>
      <c r="D56" s="1" t="s">
        <v>187</v>
      </c>
      <c r="E56" s="1" t="s">
        <v>188</v>
      </c>
      <c r="F56" s="1" t="s">
        <v>189</v>
      </c>
      <c r="G56" s="2">
        <f t="shared" si="3"/>
        <v>0.26677457327839904</v>
      </c>
      <c r="H56" s="1" t="s">
        <v>190</v>
      </c>
      <c r="I56" s="1" t="s">
        <v>191</v>
      </c>
      <c r="J56" s="1" t="s">
        <v>192</v>
      </c>
      <c r="K56" s="2">
        <f t="shared" si="4"/>
        <v>0.35721432859715829</v>
      </c>
    </row>
    <row r="57" spans="1:11" x14ac:dyDescent="0.2">
      <c r="A57" s="3" t="s">
        <v>572</v>
      </c>
      <c r="B57" s="3" t="s">
        <v>567</v>
      </c>
      <c r="C57" t="s">
        <v>58</v>
      </c>
      <c r="D57" s="1" t="s">
        <v>193</v>
      </c>
      <c r="E57" s="1" t="s">
        <v>194</v>
      </c>
      <c r="F57" s="1" t="s">
        <v>195</v>
      </c>
      <c r="G57" s="2">
        <f t="shared" si="3"/>
        <v>0.11512605042016806</v>
      </c>
      <c r="H57" s="1" t="s">
        <v>196</v>
      </c>
      <c r="I57" s="1" t="s">
        <v>197</v>
      </c>
      <c r="J57" s="1" t="s">
        <v>198</v>
      </c>
      <c r="K57" s="2">
        <f t="shared" si="4"/>
        <v>9.472312703583062E-2</v>
      </c>
    </row>
    <row r="58" spans="1:11" x14ac:dyDescent="0.2">
      <c r="A58" s="3" t="s">
        <v>573</v>
      </c>
      <c r="B58" s="3" t="s">
        <v>567</v>
      </c>
      <c r="C58" t="s">
        <v>59</v>
      </c>
      <c r="D58" s="1" t="s">
        <v>211</v>
      </c>
      <c r="E58" s="1" t="s">
        <v>212</v>
      </c>
      <c r="F58" s="1" t="s">
        <v>213</v>
      </c>
      <c r="G58" s="2">
        <f>F58/E58</f>
        <v>0.11518067137053667</v>
      </c>
      <c r="H58" s="1" t="s">
        <v>214</v>
      </c>
      <c r="I58" s="1" t="s">
        <v>215</v>
      </c>
      <c r="J58" s="1" t="s">
        <v>216</v>
      </c>
      <c r="K58" s="2">
        <f t="shared" ref="K58" si="5">J58/I58</f>
        <v>0.10432372505543237</v>
      </c>
    </row>
    <row r="59" spans="1:11" x14ac:dyDescent="0.2">
      <c r="A59" s="3" t="s">
        <v>574</v>
      </c>
      <c r="B59" s="3" t="s">
        <v>567</v>
      </c>
      <c r="C59" t="s">
        <v>60</v>
      </c>
      <c r="D59" s="1" t="s">
        <v>199</v>
      </c>
      <c r="E59" s="1" t="s">
        <v>201</v>
      </c>
      <c r="F59" s="1" t="s">
        <v>200</v>
      </c>
      <c r="G59" s="2">
        <f>F59/E59</f>
        <v>0.167317606623965</v>
      </c>
      <c r="H59" s="1" t="s">
        <v>202</v>
      </c>
      <c r="I59" s="1" t="s">
        <v>203</v>
      </c>
      <c r="J59" s="1" t="s">
        <v>204</v>
      </c>
      <c r="K59" s="2">
        <f>J59/I59</f>
        <v>0.15998237108858529</v>
      </c>
    </row>
    <row r="60" spans="1:11" x14ac:dyDescent="0.2">
      <c r="A60" s="3" t="s">
        <v>575</v>
      </c>
      <c r="B60" s="3" t="s">
        <v>567</v>
      </c>
      <c r="C60" t="s">
        <v>61</v>
      </c>
      <c r="D60" s="1" t="s">
        <v>217</v>
      </c>
      <c r="E60" s="1" t="s">
        <v>218</v>
      </c>
      <c r="F60" s="1" t="s">
        <v>219</v>
      </c>
      <c r="G60" s="2">
        <f>F60/E60</f>
        <v>0.1002321164802701</v>
      </c>
      <c r="H60" s="1" t="s">
        <v>402</v>
      </c>
      <c r="I60" s="1" t="s">
        <v>403</v>
      </c>
      <c r="J60" s="1" t="s">
        <v>404</v>
      </c>
      <c r="K60" s="2">
        <f>J60/I60</f>
        <v>8.1709344861988692E-2</v>
      </c>
    </row>
    <row r="61" spans="1:11" x14ac:dyDescent="0.2">
      <c r="A61" s="3" t="s">
        <v>576</v>
      </c>
      <c r="B61" s="3" t="s">
        <v>577</v>
      </c>
      <c r="C61" t="s">
        <v>62</v>
      </c>
      <c r="D61" s="1" t="s">
        <v>205</v>
      </c>
      <c r="E61" s="1" t="s">
        <v>206</v>
      </c>
      <c r="F61" s="1" t="s">
        <v>207</v>
      </c>
      <c r="G61" s="2">
        <f t="shared" ref="G61:G62" si="6">F61/E61</f>
        <v>0.10403066812705367</v>
      </c>
      <c r="H61" s="1" t="s">
        <v>208</v>
      </c>
      <c r="I61" s="1" t="s">
        <v>209</v>
      </c>
      <c r="J61" s="1" t="s">
        <v>210</v>
      </c>
      <c r="K61" s="2">
        <f t="shared" ref="K61:K62" si="7">J61/I61</f>
        <v>0.14652343089155812</v>
      </c>
    </row>
    <row r="62" spans="1:11" x14ac:dyDescent="0.2">
      <c r="A62" s="3" t="s">
        <v>578</v>
      </c>
      <c r="B62" s="3" t="s">
        <v>577</v>
      </c>
      <c r="C62" t="s">
        <v>63</v>
      </c>
      <c r="D62" s="1" t="s">
        <v>232</v>
      </c>
      <c r="E62" s="1" t="s">
        <v>233</v>
      </c>
      <c r="F62" s="1" t="s">
        <v>234</v>
      </c>
      <c r="G62" s="2">
        <f t="shared" si="6"/>
        <v>0.14041471048513302</v>
      </c>
      <c r="H62" s="1" t="s">
        <v>235</v>
      </c>
      <c r="I62" s="1" t="s">
        <v>236</v>
      </c>
      <c r="J62" s="1" t="s">
        <v>237</v>
      </c>
      <c r="K62" s="2">
        <f t="shared" si="7"/>
        <v>0.14137347130761993</v>
      </c>
    </row>
    <row r="63" spans="1:11" x14ac:dyDescent="0.2">
      <c r="A63" s="3" t="s">
        <v>579</v>
      </c>
      <c r="B63" s="3" t="s">
        <v>577</v>
      </c>
      <c r="C63" t="s">
        <v>64</v>
      </c>
      <c r="D63" s="1" t="s">
        <v>220</v>
      </c>
      <c r="E63" s="1" t="s">
        <v>221</v>
      </c>
      <c r="F63" s="1" t="s">
        <v>222</v>
      </c>
      <c r="G63" s="2">
        <f t="shared" ref="G63" si="8">F63/E63</f>
        <v>0.17604368932038836</v>
      </c>
      <c r="H63" s="1" t="s">
        <v>223</v>
      </c>
      <c r="I63" s="1" t="s">
        <v>224</v>
      </c>
      <c r="J63" s="1" t="s">
        <v>225</v>
      </c>
      <c r="K63" s="2">
        <f t="shared" ref="K63" si="9">J63/I63</f>
        <v>9.3212996389891695E-2</v>
      </c>
    </row>
    <row r="64" spans="1:11" x14ac:dyDescent="0.2">
      <c r="A64" s="3" t="s">
        <v>580</v>
      </c>
      <c r="B64" s="3" t="s">
        <v>581</v>
      </c>
      <c r="C64" t="s">
        <v>65</v>
      </c>
      <c r="D64" s="1" t="s">
        <v>226</v>
      </c>
      <c r="E64" s="1" t="s">
        <v>227</v>
      </c>
      <c r="F64" s="1" t="s">
        <v>228</v>
      </c>
      <c r="G64" s="2">
        <f t="shared" ref="G64:G69" si="10">F64/E64</f>
        <v>0.1676211112830831</v>
      </c>
      <c r="H64" s="1" t="s">
        <v>229</v>
      </c>
      <c r="I64" s="1" t="s">
        <v>230</v>
      </c>
      <c r="J64" s="1" t="s">
        <v>231</v>
      </c>
      <c r="K64" s="2">
        <f t="shared" ref="K64:K74" si="11">J64/I64</f>
        <v>0.13586883483402767</v>
      </c>
    </row>
    <row r="65" spans="1:11" x14ac:dyDescent="0.2">
      <c r="A65" s="3" t="s">
        <v>582</v>
      </c>
      <c r="B65" s="3" t="s">
        <v>581</v>
      </c>
      <c r="C65" t="s">
        <v>66</v>
      </c>
      <c r="D65" s="1" t="s">
        <v>238</v>
      </c>
      <c r="E65" s="1" t="s">
        <v>239</v>
      </c>
      <c r="F65" s="1" t="s">
        <v>240</v>
      </c>
      <c r="G65" s="2">
        <f t="shared" si="10"/>
        <v>0.14638297872340425</v>
      </c>
      <c r="H65" s="1" t="s">
        <v>241</v>
      </c>
      <c r="I65" s="1" t="s">
        <v>242</v>
      </c>
      <c r="J65" s="1" t="s">
        <v>243</v>
      </c>
      <c r="K65" s="2">
        <f t="shared" si="11"/>
        <v>0.26863538937842346</v>
      </c>
    </row>
    <row r="66" spans="1:11" x14ac:dyDescent="0.2">
      <c r="A66" s="3" t="s">
        <v>583</v>
      </c>
      <c r="B66" s="3" t="s">
        <v>581</v>
      </c>
      <c r="C66" t="s">
        <v>67</v>
      </c>
      <c r="D66" s="1" t="s">
        <v>244</v>
      </c>
      <c r="E66" s="1" t="s">
        <v>245</v>
      </c>
      <c r="F66" s="1" t="s">
        <v>246</v>
      </c>
      <c r="G66" s="2">
        <f t="shared" si="10"/>
        <v>0.31366878735299786</v>
      </c>
      <c r="H66" s="1" t="s">
        <v>247</v>
      </c>
      <c r="I66" s="1" t="s">
        <v>248</v>
      </c>
      <c r="J66" s="1" t="s">
        <v>249</v>
      </c>
      <c r="K66" s="2">
        <f t="shared" si="11"/>
        <v>0.32524026302478504</v>
      </c>
    </row>
    <row r="67" spans="1:11" x14ac:dyDescent="0.2">
      <c r="A67" s="3" t="s">
        <v>584</v>
      </c>
      <c r="B67" s="3" t="s">
        <v>585</v>
      </c>
      <c r="C67" t="s">
        <v>68</v>
      </c>
      <c r="D67" s="1" t="s">
        <v>250</v>
      </c>
      <c r="E67" s="1" t="s">
        <v>251</v>
      </c>
      <c r="F67" s="1" t="s">
        <v>252</v>
      </c>
      <c r="G67" s="2">
        <f t="shared" si="10"/>
        <v>0.16772486772486772</v>
      </c>
      <c r="H67" s="1" t="s">
        <v>253</v>
      </c>
      <c r="I67" s="1" t="s">
        <v>254</v>
      </c>
      <c r="J67" s="1" t="s">
        <v>204</v>
      </c>
      <c r="K67" s="2">
        <f t="shared" si="11"/>
        <v>0.24599051276259318</v>
      </c>
    </row>
    <row r="68" spans="1:11" x14ac:dyDescent="0.2">
      <c r="A68" s="3" t="s">
        <v>586</v>
      </c>
      <c r="B68" s="3" t="s">
        <v>585</v>
      </c>
      <c r="C68" t="s">
        <v>69</v>
      </c>
      <c r="D68" s="1" t="s">
        <v>255</v>
      </c>
      <c r="E68" s="1" t="s">
        <v>256</v>
      </c>
      <c r="F68" s="1" t="s">
        <v>257</v>
      </c>
      <c r="G68" s="2">
        <f t="shared" si="10"/>
        <v>0.32218385843763486</v>
      </c>
      <c r="H68" s="1" t="s">
        <v>258</v>
      </c>
      <c r="I68" s="1" t="s">
        <v>259</v>
      </c>
      <c r="J68" s="1" t="s">
        <v>260</v>
      </c>
      <c r="K68" s="2">
        <f t="shared" si="11"/>
        <v>0.16514285714285715</v>
      </c>
    </row>
    <row r="69" spans="1:11" x14ac:dyDescent="0.2">
      <c r="A69" s="3" t="s">
        <v>587</v>
      </c>
      <c r="B69" s="3" t="s">
        <v>585</v>
      </c>
      <c r="C69" t="s">
        <v>70</v>
      </c>
      <c r="D69" s="1" t="s">
        <v>261</v>
      </c>
      <c r="E69" s="1" t="s">
        <v>262</v>
      </c>
      <c r="F69" s="1" t="s">
        <v>263</v>
      </c>
      <c r="G69" s="2">
        <f t="shared" si="10"/>
        <v>0.12102747909199522</v>
      </c>
      <c r="H69" s="1" t="s">
        <v>264</v>
      </c>
      <c r="I69" s="1" t="s">
        <v>264</v>
      </c>
      <c r="J69" s="1" t="s">
        <v>264</v>
      </c>
      <c r="K69" s="2" t="s">
        <v>264</v>
      </c>
    </row>
    <row r="70" spans="1:11" x14ac:dyDescent="0.2">
      <c r="A70" s="3" t="s">
        <v>588</v>
      </c>
      <c r="B70" s="3" t="s">
        <v>585</v>
      </c>
      <c r="C70" t="s">
        <v>71</v>
      </c>
      <c r="D70" s="1" t="s">
        <v>264</v>
      </c>
      <c r="E70" s="1" t="s">
        <v>264</v>
      </c>
      <c r="F70" s="1" t="s">
        <v>264</v>
      </c>
      <c r="G70" s="2" t="s">
        <v>264</v>
      </c>
      <c r="H70" s="1" t="s">
        <v>265</v>
      </c>
      <c r="I70" s="1" t="s">
        <v>266</v>
      </c>
      <c r="J70" s="1" t="s">
        <v>267</v>
      </c>
      <c r="K70" s="2">
        <f t="shared" si="11"/>
        <v>0.15330711476582051</v>
      </c>
    </row>
    <row r="71" spans="1:11" x14ac:dyDescent="0.2">
      <c r="A71" s="3" t="s">
        <v>589</v>
      </c>
      <c r="B71" s="3" t="s">
        <v>585</v>
      </c>
      <c r="C71" t="s">
        <v>72</v>
      </c>
      <c r="D71" s="1" t="s">
        <v>268</v>
      </c>
      <c r="E71" s="1" t="s">
        <v>329</v>
      </c>
      <c r="F71" s="1" t="s">
        <v>330</v>
      </c>
      <c r="G71" s="2">
        <f t="shared" ref="G71:G74" si="12">F71/E71</f>
        <v>0.52796859666339546</v>
      </c>
      <c r="H71" s="1" t="s">
        <v>269</v>
      </c>
      <c r="I71" s="1" t="s">
        <v>331</v>
      </c>
      <c r="J71" s="1" t="s">
        <v>332</v>
      </c>
      <c r="K71" s="2">
        <f t="shared" si="11"/>
        <v>0.49540876777251186</v>
      </c>
    </row>
    <row r="72" spans="1:11" x14ac:dyDescent="0.2">
      <c r="A72" s="3" t="s">
        <v>590</v>
      </c>
      <c r="B72" s="3" t="s">
        <v>591</v>
      </c>
      <c r="C72" t="s">
        <v>73</v>
      </c>
      <c r="D72" s="1" t="s">
        <v>270</v>
      </c>
      <c r="E72" s="1" t="s">
        <v>333</v>
      </c>
      <c r="F72" s="1" t="s">
        <v>334</v>
      </c>
      <c r="G72" s="2">
        <f t="shared" si="12"/>
        <v>0.10664347826086956</v>
      </c>
      <c r="H72" s="1" t="s">
        <v>335</v>
      </c>
      <c r="I72" s="1" t="s">
        <v>336</v>
      </c>
      <c r="J72" s="1" t="s">
        <v>337</v>
      </c>
      <c r="K72" s="2">
        <f t="shared" si="11"/>
        <v>0.12134969325153375</v>
      </c>
    </row>
    <row r="73" spans="1:11" x14ac:dyDescent="0.2">
      <c r="A73" s="3" t="s">
        <v>592</v>
      </c>
      <c r="B73" s="3" t="s">
        <v>591</v>
      </c>
      <c r="C73" t="s">
        <v>74</v>
      </c>
      <c r="D73" s="1" t="s">
        <v>271</v>
      </c>
      <c r="E73" s="1" t="s">
        <v>338</v>
      </c>
      <c r="F73" s="1" t="s">
        <v>339</v>
      </c>
      <c r="G73" s="2">
        <f t="shared" si="12"/>
        <v>0.2243895390839474</v>
      </c>
      <c r="H73" s="1" t="s">
        <v>272</v>
      </c>
      <c r="I73" s="1" t="s">
        <v>396</v>
      </c>
      <c r="J73" s="1" t="s">
        <v>397</v>
      </c>
      <c r="K73" s="2">
        <f t="shared" si="11"/>
        <v>0.21828385762811991</v>
      </c>
    </row>
    <row r="74" spans="1:11" x14ac:dyDescent="0.2">
      <c r="A74" s="3" t="s">
        <v>593</v>
      </c>
      <c r="B74" s="3" t="s">
        <v>591</v>
      </c>
      <c r="C74" t="s">
        <v>75</v>
      </c>
      <c r="D74" s="1" t="s">
        <v>273</v>
      </c>
      <c r="E74" s="1" t="s">
        <v>398</v>
      </c>
      <c r="F74" s="1" t="s">
        <v>399</v>
      </c>
      <c r="G74" s="2">
        <f t="shared" si="12"/>
        <v>0.22813253012048193</v>
      </c>
      <c r="H74" s="1" t="s">
        <v>274</v>
      </c>
      <c r="I74" s="1" t="s">
        <v>400</v>
      </c>
      <c r="J74" s="1" t="s">
        <v>401</v>
      </c>
      <c r="K74" s="2">
        <f t="shared" si="11"/>
        <v>0.20403022670025189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05DC54BB3A6408DFB48FF4151D300" ma:contentTypeVersion="10" ma:contentTypeDescription="Create a new document." ma:contentTypeScope="" ma:versionID="79424ffda637ad2a63bd8d0b98635fe9">
  <xsd:schema xmlns:xsd="http://www.w3.org/2001/XMLSchema" xmlns:xs="http://www.w3.org/2001/XMLSchema" xmlns:p="http://schemas.microsoft.com/office/2006/metadata/properties" xmlns:ns3="2e934a23-612a-42c1-aac4-36508da1dc42" targetNamespace="http://schemas.microsoft.com/office/2006/metadata/properties" ma:root="true" ma:fieldsID="0c9c7e4d51402b6ca80a64798b0f253d" ns3:_="">
    <xsd:import namespace="2e934a23-612a-42c1-aac4-36508da1dc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34a23-612a-42c1-aac4-36508da1d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934a23-612a-42c1-aac4-36508da1dc42" xsi:nil="true"/>
  </documentManagement>
</p:properties>
</file>

<file path=customXml/itemProps1.xml><?xml version="1.0" encoding="utf-8"?>
<ds:datastoreItem xmlns:ds="http://schemas.openxmlformats.org/officeDocument/2006/customXml" ds:itemID="{94DF9D16-C009-4AAF-90C8-331E6A2DD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934a23-612a-42c1-aac4-36508da1d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15F2E1-63A7-431C-931C-5D37F123C8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9FD0DB-EEC2-40CB-B5E3-7A45AE9F5C5F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2e934a23-612a-42c1-aac4-36508da1dc42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Spencer</dc:creator>
  <cp:lastModifiedBy>Abigail Wendland</cp:lastModifiedBy>
  <dcterms:created xsi:type="dcterms:W3CDTF">2026-03-20T00:59:00Z</dcterms:created>
  <dcterms:modified xsi:type="dcterms:W3CDTF">2026-04-25T23:49:42Z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0x01010058305DC54BB3A6408DFB48FF4151D300</vt:lpwstr>
  </property>
</Properties>
</file>